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ebl\PB-Portfolio\assets\"/>
    </mc:Choice>
  </mc:AlternateContent>
  <xr:revisionPtr revIDLastSave="0" documentId="13_ncr:1_{252BACB5-27F7-4DB6-A352-DF6D57ACE966}" xr6:coauthVersionLast="47" xr6:coauthVersionMax="47" xr10:uidLastSave="{00000000-0000-0000-0000-000000000000}"/>
  <bookViews>
    <workbookView xWindow="-110" yWindow="-110" windowWidth="19420" windowHeight="11500" xr2:uid="{3A813C39-0551-40FA-A542-C1484BBAFBE3}"/>
  </bookViews>
  <sheets>
    <sheet name="Raw calcs" sheetId="19" r:id="rId1"/>
    <sheet name="Back-up" sheetId="18" r:id="rId2"/>
  </sheets>
  <externalReferences>
    <externalReference r:id="rId3"/>
  </externalReferences>
  <definedNames>
    <definedName name="_xlcn.WorksheetConnection_DashboardF1BN8" hidden="1">[1]Dashboard!$F$1:$BN$8</definedName>
    <definedName name="_xlcn.WorksheetConnection_Myfinances.xlsxTable2" hidden="1">Table2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My finances.xlsx!Table2"/>
          <x15:modelTable id="Range" name="Range" connection="WorksheetConnection_Dashboard!$F$1:$BN$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4" i="19" l="1"/>
  <c r="F474" i="19" s="1"/>
  <c r="C469" i="19"/>
  <c r="C467" i="19"/>
  <c r="F467" i="19" s="1"/>
  <c r="F475" i="19"/>
  <c r="F473" i="19"/>
  <c r="C473" i="19"/>
  <c r="F472" i="19"/>
  <c r="C471" i="19"/>
  <c r="F471" i="19" s="1"/>
  <c r="F469" i="19"/>
  <c r="F468" i="19"/>
  <c r="C463" i="19"/>
  <c r="F463" i="19"/>
  <c r="C453" i="19"/>
  <c r="F453" i="19" s="1"/>
  <c r="C443" i="19"/>
  <c r="F443" i="19"/>
  <c r="C461" i="19"/>
  <c r="F461" i="19" s="1"/>
  <c r="C441" i="19"/>
  <c r="F441" i="19" s="1"/>
  <c r="C464" i="19"/>
  <c r="C459" i="19"/>
  <c r="F459" i="19" s="1"/>
  <c r="C457" i="19"/>
  <c r="F457" i="19" s="1"/>
  <c r="F458" i="19"/>
  <c r="F465" i="19"/>
  <c r="F464" i="19"/>
  <c r="F462" i="19"/>
  <c r="C406" i="19"/>
  <c r="F406" i="19" s="1"/>
  <c r="C398" i="19"/>
  <c r="C390" i="19"/>
  <c r="F390" i="19" s="1"/>
  <c r="C454" i="19"/>
  <c r="F454" i="19" s="1"/>
  <c r="C449" i="19"/>
  <c r="C447" i="19"/>
  <c r="F455" i="19"/>
  <c r="F452" i="19"/>
  <c r="F451" i="19"/>
  <c r="F448" i="19"/>
  <c r="F447" i="19"/>
  <c r="C444" i="19"/>
  <c r="F444" i="19" s="1"/>
  <c r="C439" i="19"/>
  <c r="F439" i="19" s="1"/>
  <c r="C437" i="19"/>
  <c r="F445" i="19"/>
  <c r="F442" i="19"/>
  <c r="F438" i="19"/>
  <c r="C434" i="19"/>
  <c r="F434" i="19" s="1"/>
  <c r="C423" i="19"/>
  <c r="F423" i="19" s="1"/>
  <c r="C430" i="19"/>
  <c r="F430" i="19" s="1"/>
  <c r="C428" i="19"/>
  <c r="F428" i="19" s="1"/>
  <c r="F435" i="19"/>
  <c r="F433" i="19"/>
  <c r="F429" i="19"/>
  <c r="C425" i="19"/>
  <c r="C421" i="19"/>
  <c r="F421" i="19" s="1"/>
  <c r="C419" i="19"/>
  <c r="F419" i="19" s="1"/>
  <c r="F426" i="19"/>
  <c r="F425" i="19"/>
  <c r="F424" i="19"/>
  <c r="F420" i="19"/>
  <c r="C407" i="19"/>
  <c r="F407" i="19" s="1"/>
  <c r="C416" i="19"/>
  <c r="F416" i="19" s="1"/>
  <c r="C412" i="19"/>
  <c r="F412" i="19" s="1"/>
  <c r="C410" i="19"/>
  <c r="F410" i="19" s="1"/>
  <c r="F417" i="19"/>
  <c r="F415" i="19"/>
  <c r="F414" i="19"/>
  <c r="F411" i="19"/>
  <c r="C404" i="19"/>
  <c r="F404" i="19" s="1"/>
  <c r="C402" i="19"/>
  <c r="F408" i="19"/>
  <c r="F403" i="19"/>
  <c r="C396" i="19"/>
  <c r="F396" i="19" s="1"/>
  <c r="C394" i="19"/>
  <c r="F394" i="19" s="1"/>
  <c r="F400" i="19"/>
  <c r="F399" i="19"/>
  <c r="F398" i="19"/>
  <c r="F395" i="19"/>
  <c r="C391" i="19"/>
  <c r="F391" i="19" s="1"/>
  <c r="C388" i="19"/>
  <c r="F388" i="19" s="1"/>
  <c r="C386" i="19"/>
  <c r="F386" i="19" s="1"/>
  <c r="F392" i="19"/>
  <c r="F387" i="19"/>
  <c r="C380" i="19"/>
  <c r="F380" i="19" s="1"/>
  <c r="C378" i="19"/>
  <c r="F378" i="19" s="1"/>
  <c r="F383" i="19"/>
  <c r="F382" i="19"/>
  <c r="F379" i="19"/>
  <c r="C372" i="19"/>
  <c r="F372" i="19" s="1"/>
  <c r="C370" i="19"/>
  <c r="F376" i="19"/>
  <c r="F375" i="19"/>
  <c r="F374" i="19"/>
  <c r="F371" i="19"/>
  <c r="F368" i="19"/>
  <c r="F367" i="19"/>
  <c r="F366" i="19"/>
  <c r="F363" i="19"/>
  <c r="C364" i="19"/>
  <c r="F364" i="19" s="1"/>
  <c r="C362" i="19"/>
  <c r="F362" i="19" s="1"/>
  <c r="C356" i="19"/>
  <c r="F356" i="19" s="1"/>
  <c r="C354" i="19"/>
  <c r="F360" i="19"/>
  <c r="F359" i="19"/>
  <c r="F358" i="19"/>
  <c r="F355" i="19"/>
  <c r="F352" i="19"/>
  <c r="F351" i="19"/>
  <c r="C348" i="19"/>
  <c r="F348" i="19" s="1"/>
  <c r="C346" i="19"/>
  <c r="F350" i="19"/>
  <c r="F347" i="19"/>
  <c r="F344" i="19"/>
  <c r="F343" i="19"/>
  <c r="F342" i="19"/>
  <c r="F339" i="19"/>
  <c r="C340" i="19"/>
  <c r="F340" i="19" s="1"/>
  <c r="C338" i="19"/>
  <c r="F338" i="19" s="1"/>
  <c r="F336" i="19"/>
  <c r="F335" i="19"/>
  <c r="F334" i="19"/>
  <c r="F331" i="19"/>
  <c r="C332" i="19"/>
  <c r="C330" i="19"/>
  <c r="F330" i="19" s="1"/>
  <c r="F320" i="19"/>
  <c r="F319" i="19"/>
  <c r="F318" i="19"/>
  <c r="F316" i="19"/>
  <c r="F315" i="19"/>
  <c r="C322" i="19"/>
  <c r="C329" i="19" s="1"/>
  <c r="C314" i="19"/>
  <c r="C321" i="19" s="1"/>
  <c r="F328" i="19"/>
  <c r="F327" i="19"/>
  <c r="F326" i="19"/>
  <c r="F324" i="19"/>
  <c r="F323" i="19"/>
  <c r="C306" i="19"/>
  <c r="C313" i="19" s="1"/>
  <c r="F312" i="19"/>
  <c r="F311" i="19"/>
  <c r="F310" i="19"/>
  <c r="F308" i="19"/>
  <c r="F307" i="19"/>
  <c r="C303" i="19"/>
  <c r="F303" i="19" s="1"/>
  <c r="C298" i="19"/>
  <c r="F298" i="19" s="1"/>
  <c r="F304" i="19"/>
  <c r="F302" i="19"/>
  <c r="F300" i="19"/>
  <c r="F299" i="19"/>
  <c r="F296" i="19"/>
  <c r="F295" i="19"/>
  <c r="F294" i="19"/>
  <c r="F292" i="19"/>
  <c r="F291" i="19"/>
  <c r="F290" i="19"/>
  <c r="F288" i="19"/>
  <c r="F287" i="19"/>
  <c r="F286" i="19"/>
  <c r="F284" i="19"/>
  <c r="F283" i="19"/>
  <c r="F282" i="19"/>
  <c r="F280" i="19"/>
  <c r="F279" i="19"/>
  <c r="F278" i="19"/>
  <c r="F276" i="19"/>
  <c r="F275" i="19"/>
  <c r="F274" i="19"/>
  <c r="F272" i="19"/>
  <c r="F271" i="19"/>
  <c r="F270" i="19"/>
  <c r="F268" i="19"/>
  <c r="F267" i="19"/>
  <c r="F266" i="19"/>
  <c r="F264" i="19"/>
  <c r="F263" i="19"/>
  <c r="F262" i="19"/>
  <c r="F260" i="19"/>
  <c r="F259" i="19"/>
  <c r="F258" i="19"/>
  <c r="F256" i="19"/>
  <c r="F255" i="19"/>
  <c r="F254" i="19"/>
  <c r="F252" i="19"/>
  <c r="F251" i="19"/>
  <c r="F250" i="19"/>
  <c r="F248" i="19"/>
  <c r="F247" i="19"/>
  <c r="F246" i="19"/>
  <c r="F244" i="19"/>
  <c r="F243" i="19"/>
  <c r="F242" i="19"/>
  <c r="F240" i="19"/>
  <c r="F239" i="19"/>
  <c r="F238" i="19"/>
  <c r="F236" i="19"/>
  <c r="F235" i="19"/>
  <c r="F234" i="19"/>
  <c r="F232" i="19"/>
  <c r="F231" i="19"/>
  <c r="F230" i="19"/>
  <c r="F228" i="19"/>
  <c r="F227" i="19"/>
  <c r="F226" i="19"/>
  <c r="F224" i="19"/>
  <c r="F223" i="19"/>
  <c r="F222" i="19"/>
  <c r="F220" i="19"/>
  <c r="F219" i="19"/>
  <c r="F218" i="19"/>
  <c r="F216" i="19"/>
  <c r="F215" i="19"/>
  <c r="F214" i="19"/>
  <c r="F212" i="19"/>
  <c r="F211" i="19"/>
  <c r="F210" i="19"/>
  <c r="F208" i="19"/>
  <c r="F207" i="19"/>
  <c r="F206" i="19"/>
  <c r="F204" i="19"/>
  <c r="F203" i="19"/>
  <c r="F202" i="19"/>
  <c r="F200" i="19"/>
  <c r="F199" i="19"/>
  <c r="F198" i="19"/>
  <c r="F196" i="19"/>
  <c r="F195" i="19"/>
  <c r="F194" i="19"/>
  <c r="F192" i="19"/>
  <c r="F191" i="19"/>
  <c r="F190" i="19"/>
  <c r="F188" i="19"/>
  <c r="F187" i="19"/>
  <c r="F186" i="19"/>
  <c r="F184" i="19"/>
  <c r="F183" i="19"/>
  <c r="F182" i="19"/>
  <c r="F180" i="19"/>
  <c r="F179" i="19"/>
  <c r="F178" i="19"/>
  <c r="F176" i="19"/>
  <c r="F175" i="19"/>
  <c r="F174" i="19"/>
  <c r="F172" i="19"/>
  <c r="F171" i="19"/>
  <c r="F170" i="19"/>
  <c r="F168" i="19"/>
  <c r="F167" i="19"/>
  <c r="F166" i="19"/>
  <c r="F164" i="19"/>
  <c r="F163" i="19"/>
  <c r="F162" i="19"/>
  <c r="F160" i="19"/>
  <c r="F159" i="19"/>
  <c r="F158" i="19"/>
  <c r="F156" i="19"/>
  <c r="F155" i="19"/>
  <c r="F154" i="19"/>
  <c r="F152" i="19"/>
  <c r="F151" i="19"/>
  <c r="F150" i="19"/>
  <c r="F148" i="19"/>
  <c r="F147" i="19"/>
  <c r="F146" i="19"/>
  <c r="F144" i="19"/>
  <c r="F143" i="19"/>
  <c r="F142" i="19"/>
  <c r="F140" i="19"/>
  <c r="F139" i="19"/>
  <c r="F138" i="19"/>
  <c r="F136" i="19"/>
  <c r="F135" i="19"/>
  <c r="F134" i="19"/>
  <c r="F132" i="19"/>
  <c r="F131" i="19"/>
  <c r="F130" i="19"/>
  <c r="F128" i="19"/>
  <c r="F127" i="19"/>
  <c r="F126" i="19"/>
  <c r="F124" i="19"/>
  <c r="F123" i="19"/>
  <c r="F122" i="19"/>
  <c r="F120" i="19"/>
  <c r="F119" i="19"/>
  <c r="F118" i="19"/>
  <c r="F116" i="19"/>
  <c r="F115" i="19"/>
  <c r="F114" i="19"/>
  <c r="F112" i="19"/>
  <c r="F111" i="19"/>
  <c r="F110" i="19"/>
  <c r="F108" i="19"/>
  <c r="F107" i="19"/>
  <c r="F106" i="19"/>
  <c r="F104" i="19"/>
  <c r="F103" i="19"/>
  <c r="F102" i="19"/>
  <c r="F100" i="19"/>
  <c r="F99" i="19"/>
  <c r="F98" i="19"/>
  <c r="F96" i="19"/>
  <c r="F95" i="19"/>
  <c r="F94" i="19"/>
  <c r="F92" i="19"/>
  <c r="F91" i="19"/>
  <c r="F90" i="19"/>
  <c r="F88" i="19"/>
  <c r="F87" i="19"/>
  <c r="F86" i="19"/>
  <c r="F84" i="19"/>
  <c r="F83" i="19"/>
  <c r="F82" i="19"/>
  <c r="F80" i="19"/>
  <c r="F79" i="19"/>
  <c r="F78" i="19"/>
  <c r="F76" i="19"/>
  <c r="F75" i="19"/>
  <c r="F74" i="19"/>
  <c r="F72" i="19"/>
  <c r="F71" i="19"/>
  <c r="F70" i="19"/>
  <c r="F68" i="19"/>
  <c r="F67" i="19"/>
  <c r="F66" i="19"/>
  <c r="F64" i="19"/>
  <c r="F63" i="19"/>
  <c r="F62" i="19"/>
  <c r="F60" i="19"/>
  <c r="F59" i="19"/>
  <c r="F58" i="19"/>
  <c r="F56" i="19"/>
  <c r="F55" i="19"/>
  <c r="F54" i="19"/>
  <c r="F52" i="19"/>
  <c r="F51" i="19"/>
  <c r="F50" i="19"/>
  <c r="F48" i="19"/>
  <c r="F47" i="19"/>
  <c r="F46" i="19"/>
  <c r="F44" i="19"/>
  <c r="F43" i="19"/>
  <c r="F42" i="19"/>
  <c r="F40" i="19"/>
  <c r="F39" i="19"/>
  <c r="F38" i="19"/>
  <c r="F36" i="19"/>
  <c r="F35" i="19"/>
  <c r="F34" i="19"/>
  <c r="F32" i="19"/>
  <c r="F31" i="19"/>
  <c r="F30" i="19"/>
  <c r="F28" i="19"/>
  <c r="F27" i="19"/>
  <c r="F26" i="19"/>
  <c r="F24" i="19"/>
  <c r="F23" i="19"/>
  <c r="F22" i="19"/>
  <c r="F20" i="19"/>
  <c r="F19" i="19"/>
  <c r="F18" i="19"/>
  <c r="C297" i="19"/>
  <c r="C289" i="19"/>
  <c r="C281" i="19"/>
  <c r="C273" i="19"/>
  <c r="C265" i="19"/>
  <c r="C257" i="19"/>
  <c r="C249" i="19"/>
  <c r="C241" i="19"/>
  <c r="C233" i="19"/>
  <c r="C225" i="19"/>
  <c r="C217" i="19"/>
  <c r="C209" i="19"/>
  <c r="C201" i="19"/>
  <c r="C193" i="19"/>
  <c r="C185" i="19"/>
  <c r="C177" i="19"/>
  <c r="C169" i="19"/>
  <c r="C161" i="19"/>
  <c r="C153" i="19"/>
  <c r="C145" i="19"/>
  <c r="C137" i="19"/>
  <c r="C129" i="19"/>
  <c r="C121" i="19"/>
  <c r="C113" i="19"/>
  <c r="C105" i="19"/>
  <c r="C97" i="19"/>
  <c r="C89" i="19"/>
  <c r="C81" i="19"/>
  <c r="C73" i="19"/>
  <c r="C65" i="19"/>
  <c r="C57" i="19"/>
  <c r="C49" i="19"/>
  <c r="C41" i="19"/>
  <c r="C33" i="19"/>
  <c r="C25" i="19"/>
  <c r="F15" i="19"/>
  <c r="F14" i="19"/>
  <c r="F11" i="19"/>
  <c r="F10" i="19"/>
  <c r="F16" i="19"/>
  <c r="F12" i="19"/>
  <c r="F2" i="19"/>
  <c r="F3" i="19"/>
  <c r="F4" i="19"/>
  <c r="F6" i="19"/>
  <c r="F7" i="19"/>
  <c r="F8" i="19"/>
  <c r="C17" i="19"/>
  <c r="C9" i="19"/>
  <c r="F476" i="19" l="1"/>
  <c r="D467" i="19" s="1"/>
  <c r="C476" i="19"/>
  <c r="C466" i="19"/>
  <c r="C361" i="19"/>
  <c r="C456" i="19"/>
  <c r="F449" i="19"/>
  <c r="F456" i="19" s="1"/>
  <c r="D453" i="19" s="1"/>
  <c r="C305" i="19"/>
  <c r="C432" i="19"/>
  <c r="F432" i="19" s="1"/>
  <c r="F436" i="19" s="1"/>
  <c r="C353" i="19"/>
  <c r="C427" i="19"/>
  <c r="C446" i="19"/>
  <c r="F466" i="19"/>
  <c r="F437" i="19"/>
  <c r="C436" i="19"/>
  <c r="F427" i="19"/>
  <c r="C369" i="19"/>
  <c r="C345" i="19"/>
  <c r="C409" i="19"/>
  <c r="F418" i="19"/>
  <c r="C377" i="19"/>
  <c r="C401" i="19"/>
  <c r="C337" i="19"/>
  <c r="F314" i="19"/>
  <c r="F321" i="19" s="1"/>
  <c r="C393" i="19"/>
  <c r="F332" i="19"/>
  <c r="F337" i="19" s="1"/>
  <c r="F402" i="19"/>
  <c r="F409" i="19" s="1"/>
  <c r="C418" i="19"/>
  <c r="F401" i="19"/>
  <c r="F393" i="19"/>
  <c r="F369" i="19"/>
  <c r="D364" i="19" s="1"/>
  <c r="F370" i="19"/>
  <c r="F377" i="19" s="1"/>
  <c r="F345" i="19"/>
  <c r="D343" i="19" s="1"/>
  <c r="F354" i="19"/>
  <c r="F346" i="19"/>
  <c r="F322" i="19"/>
  <c r="F329" i="19" s="1"/>
  <c r="F306" i="19"/>
  <c r="F305" i="19"/>
  <c r="F81" i="19"/>
  <c r="D79" i="19" s="1"/>
  <c r="F145" i="19"/>
  <c r="D139" i="19" s="1"/>
  <c r="F209" i="19"/>
  <c r="D208" i="19" s="1"/>
  <c r="F273" i="19"/>
  <c r="D266" i="19" s="1"/>
  <c r="F73" i="19"/>
  <c r="D67" i="19" s="1"/>
  <c r="F169" i="19"/>
  <c r="D162" i="19" s="1"/>
  <c r="F233" i="19"/>
  <c r="D228" i="19" s="1"/>
  <c r="F265" i="19"/>
  <c r="D262" i="19" s="1"/>
  <c r="F177" i="19"/>
  <c r="D171" i="19" s="1"/>
  <c r="F33" i="19"/>
  <c r="D26" i="19" s="1"/>
  <c r="F129" i="19"/>
  <c r="D128" i="19" s="1"/>
  <c r="F161" i="19"/>
  <c r="D156" i="19" s="1"/>
  <c r="F193" i="19"/>
  <c r="D192" i="19" s="1"/>
  <c r="F225" i="19"/>
  <c r="D220" i="19" s="1"/>
  <c r="F257" i="19"/>
  <c r="D256" i="19" s="1"/>
  <c r="F289" i="19"/>
  <c r="D287" i="19" s="1"/>
  <c r="F49" i="19"/>
  <c r="D46" i="19" s="1"/>
  <c r="F97" i="19"/>
  <c r="D94" i="19" s="1"/>
  <c r="F241" i="19"/>
  <c r="D239" i="19" s="1"/>
  <c r="F9" i="19"/>
  <c r="D6" i="19" s="1"/>
  <c r="F89" i="19"/>
  <c r="D88" i="19" s="1"/>
  <c r="F121" i="19"/>
  <c r="D116" i="19" s="1"/>
  <c r="F185" i="19"/>
  <c r="D179" i="19" s="1"/>
  <c r="F217" i="19"/>
  <c r="D216" i="19" s="1"/>
  <c r="F249" i="19"/>
  <c r="D246" i="19" s="1"/>
  <c r="F281" i="19"/>
  <c r="D279" i="19" s="1"/>
  <c r="F17" i="19"/>
  <c r="D10" i="19" s="1"/>
  <c r="F57" i="19"/>
  <c r="D54" i="19" s="1"/>
  <c r="F65" i="19"/>
  <c r="D64" i="19" s="1"/>
  <c r="F113" i="19"/>
  <c r="D106" i="19" s="1"/>
  <c r="F137" i="19"/>
  <c r="D136" i="19" s="1"/>
  <c r="F201" i="19"/>
  <c r="D195" i="19" s="1"/>
  <c r="F25" i="19"/>
  <c r="D18" i="19" s="1"/>
  <c r="F153" i="19"/>
  <c r="D147" i="19" s="1"/>
  <c r="F41" i="19"/>
  <c r="D35" i="19" s="1"/>
  <c r="F105" i="19"/>
  <c r="D98" i="19" s="1"/>
  <c r="F297" i="19"/>
  <c r="D475" i="19" l="1"/>
  <c r="D474" i="19"/>
  <c r="D473" i="19"/>
  <c r="D472" i="19"/>
  <c r="D471" i="19"/>
  <c r="D469" i="19"/>
  <c r="D468" i="19"/>
  <c r="D465" i="19"/>
  <c r="D463" i="19"/>
  <c r="D458" i="19"/>
  <c r="D457" i="19"/>
  <c r="D464" i="19"/>
  <c r="D462" i="19"/>
  <c r="D461" i="19"/>
  <c r="D459" i="19"/>
  <c r="D452" i="19"/>
  <c r="D451" i="19"/>
  <c r="D447" i="19"/>
  <c r="D448" i="19"/>
  <c r="D449" i="19"/>
  <c r="D454" i="19"/>
  <c r="D455" i="19"/>
  <c r="F446" i="19"/>
  <c r="D435" i="19"/>
  <c r="D434" i="19"/>
  <c r="D433" i="19"/>
  <c r="D432" i="19"/>
  <c r="D429" i="19"/>
  <c r="D430" i="19"/>
  <c r="D428" i="19"/>
  <c r="D419" i="19"/>
  <c r="D426" i="19"/>
  <c r="D425" i="19"/>
  <c r="D424" i="19"/>
  <c r="D423" i="19"/>
  <c r="D421" i="19"/>
  <c r="D420" i="19"/>
  <c r="D417" i="19"/>
  <c r="D416" i="19"/>
  <c r="D415" i="19"/>
  <c r="D412" i="19"/>
  <c r="D411" i="19"/>
  <c r="D414" i="19"/>
  <c r="D410" i="19"/>
  <c r="D408" i="19"/>
  <c r="D407" i="19"/>
  <c r="D406" i="19"/>
  <c r="D404" i="19"/>
  <c r="D402" i="19"/>
  <c r="D403" i="19"/>
  <c r="D362" i="19"/>
  <c r="D400" i="19"/>
  <c r="D396" i="19"/>
  <c r="D394" i="19"/>
  <c r="D398" i="19"/>
  <c r="D399" i="19"/>
  <c r="D395" i="19"/>
  <c r="D392" i="19"/>
  <c r="D391" i="19"/>
  <c r="D390" i="19"/>
  <c r="D388" i="19"/>
  <c r="D387" i="19"/>
  <c r="D386" i="19"/>
  <c r="D368" i="19"/>
  <c r="D190" i="19"/>
  <c r="D363" i="19"/>
  <c r="D207" i="19"/>
  <c r="D367" i="19"/>
  <c r="D366" i="19"/>
  <c r="D167" i="19"/>
  <c r="D375" i="19"/>
  <c r="D376" i="19"/>
  <c r="D374" i="19"/>
  <c r="D371" i="19"/>
  <c r="D372" i="19"/>
  <c r="D370" i="19"/>
  <c r="D342" i="19"/>
  <c r="D340" i="19"/>
  <c r="D164" i="19"/>
  <c r="D166" i="19"/>
  <c r="D163" i="19"/>
  <c r="D339" i="19"/>
  <c r="D338" i="19"/>
  <c r="D344" i="19"/>
  <c r="D72" i="19"/>
  <c r="D168" i="19"/>
  <c r="F361" i="19"/>
  <c r="F353" i="19"/>
  <c r="D48" i="19"/>
  <c r="D152" i="19"/>
  <c r="D158" i="19"/>
  <c r="D336" i="19"/>
  <c r="D335" i="19"/>
  <c r="D334" i="19"/>
  <c r="D332" i="19"/>
  <c r="D331" i="19"/>
  <c r="D330" i="19"/>
  <c r="D202" i="19"/>
  <c r="D178" i="19"/>
  <c r="D248" i="19"/>
  <c r="D91" i="19"/>
  <c r="D182" i="19"/>
  <c r="D327" i="19"/>
  <c r="D326" i="19"/>
  <c r="D324" i="19"/>
  <c r="D323" i="19"/>
  <c r="D322" i="19"/>
  <c r="D328" i="19"/>
  <c r="D103" i="19"/>
  <c r="D212" i="19"/>
  <c r="D96" i="19"/>
  <c r="D267" i="19"/>
  <c r="D126" i="19"/>
  <c r="D203" i="19"/>
  <c r="D215" i="19"/>
  <c r="D160" i="19"/>
  <c r="D154" i="19"/>
  <c r="D159" i="19"/>
  <c r="D204" i="19"/>
  <c r="D155" i="19"/>
  <c r="D127" i="19"/>
  <c r="D214" i="19"/>
  <c r="D238" i="19"/>
  <c r="D92" i="19"/>
  <c r="D122" i="19"/>
  <c r="D210" i="19"/>
  <c r="D95" i="19"/>
  <c r="D243" i="19"/>
  <c r="D206" i="19"/>
  <c r="D70" i="19"/>
  <c r="D186" i="19"/>
  <c r="D71" i="19"/>
  <c r="D183" i="19"/>
  <c r="D66" i="19"/>
  <c r="D191" i="19"/>
  <c r="D102" i="19"/>
  <c r="D188" i="19"/>
  <c r="D187" i="19"/>
  <c r="D68" i="19"/>
  <c r="D172" i="19"/>
  <c r="D176" i="19"/>
  <c r="D174" i="19"/>
  <c r="D78" i="19"/>
  <c r="D74" i="19"/>
  <c r="D170" i="19"/>
  <c r="D75" i="19"/>
  <c r="D151" i="19"/>
  <c r="D76" i="19"/>
  <c r="D198" i="19"/>
  <c r="D80" i="19"/>
  <c r="D175" i="19"/>
  <c r="F313" i="19"/>
  <c r="D134" i="19"/>
  <c r="D60" i="19"/>
  <c r="D298" i="19"/>
  <c r="D303" i="19"/>
  <c r="D304" i="19"/>
  <c r="D302" i="19"/>
  <c r="D299" i="19"/>
  <c r="D300" i="19"/>
  <c r="D223" i="19"/>
  <c r="D22" i="19"/>
  <c r="D296" i="19"/>
  <c r="D232" i="19"/>
  <c r="D7" i="19"/>
  <c r="D219" i="19"/>
  <c r="D222" i="19"/>
  <c r="D227" i="19"/>
  <c r="D230" i="19"/>
  <c r="D143" i="19"/>
  <c r="D30" i="19"/>
  <c r="D132" i="19"/>
  <c r="D32" i="19"/>
  <c r="D31" i="19"/>
  <c r="D27" i="19"/>
  <c r="D200" i="19"/>
  <c r="D100" i="19"/>
  <c r="D218" i="19"/>
  <c r="D82" i="19"/>
  <c r="D28" i="19"/>
  <c r="D268" i="19"/>
  <c r="D142" i="19"/>
  <c r="D83" i="19"/>
  <c r="D124" i="19"/>
  <c r="D144" i="19"/>
  <c r="D87" i="19"/>
  <c r="D196" i="19"/>
  <c r="D180" i="19"/>
  <c r="D123" i="19"/>
  <c r="D199" i="19"/>
  <c r="D250" i="19"/>
  <c r="D184" i="19"/>
  <c r="D138" i="19"/>
  <c r="D140" i="19"/>
  <c r="D86" i="19"/>
  <c r="D286" i="19"/>
  <c r="D288" i="19"/>
  <c r="D282" i="19"/>
  <c r="D283" i="19"/>
  <c r="D284" i="19"/>
  <c r="D280" i="19"/>
  <c r="D270" i="19"/>
  <c r="D271" i="19"/>
  <c r="D272" i="19"/>
  <c r="D264" i="19"/>
  <c r="D258" i="19"/>
  <c r="D259" i="19"/>
  <c r="D275" i="19"/>
  <c r="D276" i="19"/>
  <c r="D242" i="19"/>
  <c r="D251" i="19"/>
  <c r="D260" i="19"/>
  <c r="D8" i="19"/>
  <c r="D224" i="19"/>
  <c r="D231" i="19"/>
  <c r="D3" i="19"/>
  <c r="D56" i="19"/>
  <c r="D226" i="19"/>
  <c r="D274" i="19"/>
  <c r="D252" i="19"/>
  <c r="D278" i="19"/>
  <c r="D254" i="19"/>
  <c r="D263" i="19"/>
  <c r="D255" i="19"/>
  <c r="D247" i="19"/>
  <c r="D244" i="19"/>
  <c r="D15" i="19"/>
  <c r="D20" i="19"/>
  <c r="D47" i="19"/>
  <c r="D42" i="19"/>
  <c r="D43" i="19"/>
  <c r="D44" i="19"/>
  <c r="D40" i="19"/>
  <c r="D90" i="19"/>
  <c r="D84" i="19"/>
  <c r="D119" i="19"/>
  <c r="D115" i="19"/>
  <c r="D118" i="19"/>
  <c r="D120" i="19"/>
  <c r="D114" i="19"/>
  <c r="D107" i="19"/>
  <c r="D112" i="19"/>
  <c r="D111" i="19"/>
  <c r="D211" i="19"/>
  <c r="D236" i="19"/>
  <c r="D234" i="19"/>
  <c r="D235" i="19"/>
  <c r="D240" i="19"/>
  <c r="D12" i="19"/>
  <c r="D11" i="19"/>
  <c r="D16" i="19"/>
  <c r="D108" i="19"/>
  <c r="D14" i="19"/>
  <c r="D2" i="19"/>
  <c r="D4" i="19"/>
  <c r="D59" i="19"/>
  <c r="D39" i="19"/>
  <c r="D36" i="19"/>
  <c r="D104" i="19"/>
  <c r="D55" i="19"/>
  <c r="D146" i="19"/>
  <c r="D292" i="19"/>
  <c r="D58" i="19"/>
  <c r="D194" i="19"/>
  <c r="D19" i="19"/>
  <c r="D99" i="19"/>
  <c r="D148" i="19"/>
  <c r="D290" i="19"/>
  <c r="D52" i="19"/>
  <c r="D291" i="19"/>
  <c r="D135" i="19"/>
  <c r="D150" i="19"/>
  <c r="D295" i="19"/>
  <c r="D34" i="19"/>
  <c r="D130" i="19"/>
  <c r="D110" i="19"/>
  <c r="D63" i="19"/>
  <c r="D294" i="19"/>
  <c r="D38" i="19"/>
  <c r="D131" i="19"/>
  <c r="D24" i="19"/>
  <c r="D23" i="19"/>
  <c r="D51" i="19"/>
  <c r="D50" i="19"/>
  <c r="D62" i="19"/>
  <c r="D437" i="19" l="1"/>
  <c r="D443" i="19"/>
  <c r="D438" i="19"/>
  <c r="D442" i="19"/>
  <c r="D441" i="19"/>
  <c r="D444" i="19"/>
  <c r="D439" i="19"/>
  <c r="D445" i="19"/>
  <c r="D359" i="19"/>
  <c r="D360" i="19"/>
  <c r="D358" i="19"/>
  <c r="D355" i="19"/>
  <c r="D356" i="19"/>
  <c r="D354" i="19"/>
  <c r="D352" i="19"/>
  <c r="D350" i="19"/>
  <c r="D348" i="19"/>
  <c r="D347" i="19"/>
  <c r="D346" i="19"/>
  <c r="D351" i="19"/>
  <c r="D319" i="19"/>
  <c r="D318" i="19"/>
  <c r="D316" i="19"/>
  <c r="D315" i="19"/>
  <c r="D320" i="19"/>
  <c r="D314" i="19"/>
  <c r="D311" i="19"/>
  <c r="D310" i="19"/>
  <c r="D307" i="19"/>
  <c r="D308" i="19"/>
  <c r="D306" i="19"/>
  <c r="D312" i="19"/>
  <c r="C385" i="19"/>
  <c r="F384" i="19"/>
  <c r="F385" i="19" l="1"/>
  <c r="D383" i="19" l="1"/>
  <c r="D382" i="19"/>
  <c r="D384" i="19"/>
  <c r="D379" i="19"/>
  <c r="D380" i="19"/>
  <c r="D378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606BAD-0804-4EF6-88D3-35C916796D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3A37728-EB40-4022-87D6-56F36B86F00C}" name="WorksheetConnection_Dashboard!$F$1:$BN$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shboardF1BN8"/>
        </x15:connection>
      </ext>
    </extLst>
  </connection>
  <connection id="3" xr16:uid="{ED33D678-1022-44FA-AFC7-88B34EE406AE}" name="WorksheetConnection_My finances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Myfinances.xlsxTable2"/>
        </x15:connection>
      </ext>
    </extLst>
  </connection>
</connections>
</file>

<file path=xl/sharedStrings.xml><?xml version="1.0" encoding="utf-8"?>
<sst xmlns="http://schemas.openxmlformats.org/spreadsheetml/2006/main" count="1911" uniqueCount="26">
  <si>
    <t>Date</t>
  </si>
  <si>
    <t>Asset</t>
  </si>
  <si>
    <t>Value</t>
  </si>
  <si>
    <t>Percentage</t>
  </si>
  <si>
    <t>Liquidity</t>
  </si>
  <si>
    <t>ABN-AMRO</t>
  </si>
  <si>
    <t>Liquid</t>
  </si>
  <si>
    <t>Coinbase</t>
  </si>
  <si>
    <t>DEGIRO</t>
  </si>
  <si>
    <t>DUO</t>
  </si>
  <si>
    <t>Not Applicable</t>
  </si>
  <si>
    <t>IWMA</t>
  </si>
  <si>
    <t>Not Liquid</t>
  </si>
  <si>
    <t>Laaken</t>
  </si>
  <si>
    <t>NuBank</t>
  </si>
  <si>
    <t>Total</t>
  </si>
  <si>
    <t xml:space="preserve">ABN-AMRO </t>
  </si>
  <si>
    <t xml:space="preserve">Coinbase </t>
  </si>
  <si>
    <t xml:space="preserve">DEGIRO </t>
  </si>
  <si>
    <t xml:space="preserve">IWMA </t>
  </si>
  <si>
    <t xml:space="preserve">Laaken </t>
  </si>
  <si>
    <t xml:space="preserve">NuBank </t>
  </si>
  <si>
    <t xml:space="preserve">Total </t>
  </si>
  <si>
    <t>Wise</t>
  </si>
  <si>
    <t>Schiele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</si>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</sst>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([$€-2]\ * #,##0.00_);_([$€-2]\ * \(#,##0.00\);_([$€-2]\ * &quot;-&quot;??_);_(@_)"/>
    <numFmt numFmtId="166" formatCode="0.0%"/>
    <numFmt numFmtId="170" formatCode="[$-409]mmmm\ d\,\ yyyy;@"/>
    <numFmt numFmtId="171" formatCode="_ [$€-2]\ * #,##0.00_ ;_ [$€-2]\ * \-#,##0.00_ ;_ [$€-2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65" fontId="0" fillId="0" borderId="0" xfId="0" applyNumberFormat="1"/>
    <xf numFmtId="165" fontId="1" fillId="0" borderId="0" xfId="0" applyNumberFormat="1" applyFont="1"/>
    <xf numFmtId="166" fontId="0" fillId="0" borderId="0" xfId="1" applyNumberFormat="1" applyFont="1"/>
    <xf numFmtId="170" fontId="1" fillId="0" borderId="0" xfId="0" applyNumberFormat="1" applyFont="1"/>
    <xf numFmtId="9" fontId="1" fillId="0" borderId="0" xfId="1" applyFont="1"/>
    <xf numFmtId="171" fontId="0" fillId="0" borderId="0" xfId="0" applyNumberFormat="1"/>
    <xf numFmtId="171" fontId="1" fillId="0" borderId="0" xfId="0" applyNumberFormat="1" applyFont="1"/>
    <xf numFmtId="170" fontId="1" fillId="0" borderId="1" xfId="0" applyNumberFormat="1" applyFont="1" applyBorder="1"/>
    <xf numFmtId="165" fontId="5" fillId="0" borderId="2" xfId="0" applyNumberFormat="1" applyFont="1" applyBorder="1"/>
    <xf numFmtId="171" fontId="5" fillId="0" borderId="2" xfId="0" applyNumberFormat="1" applyFont="1" applyBorder="1"/>
    <xf numFmtId="165" fontId="4" fillId="0" borderId="0" xfId="0" applyNumberFormat="1" applyFont="1"/>
    <xf numFmtId="171" fontId="4" fillId="0" borderId="0" xfId="0" applyNumberFormat="1" applyFont="1"/>
    <xf numFmtId="165" fontId="0" fillId="0" borderId="2" xfId="0" applyNumberFormat="1" applyBorder="1"/>
    <xf numFmtId="171" fontId="0" fillId="0" borderId="2" xfId="0" applyNumberFormat="1" applyBorder="1"/>
    <xf numFmtId="166" fontId="5" fillId="0" borderId="2" xfId="0" applyNumberFormat="1" applyFont="1" applyBorder="1"/>
    <xf numFmtId="166" fontId="2" fillId="0" borderId="0" xfId="1" applyNumberFormat="1" applyFont="1"/>
    <xf numFmtId="9" fontId="4" fillId="0" borderId="0" xfId="1" applyFont="1" applyBorder="1"/>
    <xf numFmtId="9" fontId="2" fillId="0" borderId="0" xfId="1" applyFont="1"/>
    <xf numFmtId="9" fontId="1" fillId="0" borderId="0" xfId="1" applyFont="1" applyBorder="1"/>
    <xf numFmtId="166" fontId="5" fillId="0" borderId="2" xfId="1" applyNumberFormat="1" applyFont="1" applyBorder="1"/>
    <xf numFmtId="9" fontId="0" fillId="0" borderId="0" xfId="1" applyFont="1"/>
    <xf numFmtId="166" fontId="1" fillId="0" borderId="0" xfId="1" applyNumberFormat="1" applyFont="1"/>
  </cellXfs>
  <cellStyles count="2">
    <cellStyle name="Normal" xfId="0" builtinId="0"/>
    <cellStyle name="Percent" xfId="1" builtinId="5"/>
  </cellStyles>
  <dxfs count="9">
    <dxf>
      <numFmt numFmtId="166" formatCode="0.0%"/>
    </dxf>
    <dxf>
      <numFmt numFmtId="171" formatCode="_ [$€-2]\ * #,##0.00_ ;_ [$€-2]\ * \-#,##0.00_ ;_ [$€-2]\ * &quot;-&quot;??_ ;_ @_ "/>
    </dxf>
    <dxf>
      <numFmt numFmtId="165" formatCode="_([$€-2]\ * #,##0.00_);_([$€-2]\ * \(#,##0.00\);_([$€-2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[$-409]mmmm\ d\,\ yyyy;@"/>
    </dxf>
    <dxf>
      <numFmt numFmtId="171" formatCode="_ [$€-2]\ * #,##0.00_ ;_ [$€-2]\ * \-#,##0.00_ ;_ [$€-2]\ * &quot;-&quot;??_ ;_ @_ "/>
    </dxf>
    <dxf>
      <numFmt numFmtId="166" formatCode="0.0%"/>
    </dxf>
    <dxf>
      <numFmt numFmtId="171" formatCode="_ [$€-2]\ * #,##0.00_ ;_ [$€-2]\ * \-#,##0.00_ ;_ [$€-2]\ * &quot;-&quot;??_ ;_ @_ "/>
    </dxf>
    <dxf>
      <numFmt numFmtId="165" formatCode="_([$€-2]\ * #,##0.00_);_([$€-2]\ * \(#,##0.00\);_([$€-2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[$-4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shboa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87D7CE-3EF7-4551-A888-DD7AB01185EE}" name="Table14" displayName="Table14" ref="A1:F476" totalsRowShown="0">
  <autoFilter ref="A1:F476" xr:uid="{C948E6A9-A4EA-4431-9E47-7765630D1362}"/>
  <sortState xmlns:xlrd2="http://schemas.microsoft.com/office/spreadsheetml/2017/richdata2" ref="A2:E281">
    <sortCondition ref="A1:A281"/>
  </sortState>
  <tableColumns count="6">
    <tableColumn id="1" xr3:uid="{1B477B17-BBFB-4B80-AADC-C0FD3ABBD27C}" name="Date" dataDxfId="8"/>
    <tableColumn id="2" xr3:uid="{8116E88C-A15D-4D72-8088-40D2277B6F0E}" name="Asset" dataDxfId="7"/>
    <tableColumn id="3" xr3:uid="{8859BEBD-0B6F-45E8-8844-74518F2FFA03}" name="Value" dataDxfId="6"/>
    <tableColumn id="5" xr3:uid="{D0ADC041-BEE5-49A8-8E6A-2C3AEB76E59E}" name="Percentage" dataDxfId="5" dataCellStyle="Percent"/>
    <tableColumn id="4" xr3:uid="{F272ACB6-3D4F-4B84-A0F6-2F6B698AC23C}" name="Liquidity"/>
    <tableColumn id="6" xr3:uid="{BC31E523-78D2-4FAA-94FF-2F3752B821D3}" name="Equity" dataDxfId="4">
      <calculatedColumnFormula>Table14[[#This Row],[Value]]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8E6A9-A4EA-4431-9E47-7765630D1362}" name="Table1" displayName="Table1" ref="A1:E476" totalsRowShown="0">
  <autoFilter ref="A1:E476" xr:uid="{C948E6A9-A4EA-4431-9E47-7765630D1362}"/>
  <sortState xmlns:xlrd2="http://schemas.microsoft.com/office/spreadsheetml/2017/richdata2" ref="A2:E281">
    <sortCondition ref="A1:A281"/>
  </sortState>
  <tableColumns count="5">
    <tableColumn id="1" xr3:uid="{B7092A27-E1CB-46E0-A19C-DFB07DC0FB74}" name="Date" dataDxfId="3"/>
    <tableColumn id="2" xr3:uid="{442AFBD9-AF7F-4138-9B4C-908C1294ADEF}" name="Asset" dataDxfId="2"/>
    <tableColumn id="3" xr3:uid="{6EB09573-1173-4157-BD25-981A60C8A681}" name="Value" dataDxfId="1"/>
    <tableColumn id="5" xr3:uid="{CF34671F-18DD-4695-B0FB-6CE607981CF7}" name="Percentage" dataDxfId="0" dataCellStyle="Percent"/>
    <tableColumn id="4" xr3:uid="{CCB89518-EDB7-4E29-AF12-EB5CF2B66084}" name="Liquidity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1F09-933C-44F4-AAF4-9797EDB626CF}">
  <dimension ref="A1:F476"/>
  <sheetViews>
    <sheetView tabSelected="1" topLeftCell="A462" zoomScaleNormal="100" workbookViewId="0">
      <selection activeCell="E479" sqref="E479"/>
    </sheetView>
  </sheetViews>
  <sheetFormatPr defaultRowHeight="14.5" x14ac:dyDescent="0.35"/>
  <cols>
    <col min="1" max="1" width="18.7265625" bestFit="1" customWidth="1"/>
    <col min="2" max="2" width="16.7265625" bestFit="1" customWidth="1"/>
    <col min="3" max="3" width="13.81640625" style="7" bestFit="1" customWidth="1"/>
    <col min="4" max="4" width="13.1796875" style="4" bestFit="1" customWidth="1"/>
    <col min="5" max="5" width="14" bestFit="1" customWidth="1"/>
    <col min="6" max="6" width="13.1796875" bestFit="1" customWidth="1"/>
    <col min="8" max="8" width="15.453125" bestFit="1" customWidth="1"/>
    <col min="9" max="9" width="13.1796875" bestFit="1" customWidth="1"/>
  </cols>
  <sheetData>
    <row r="1" spans="1:6" x14ac:dyDescent="0.35">
      <c r="A1" t="s">
        <v>0</v>
      </c>
      <c r="B1" t="s">
        <v>1</v>
      </c>
      <c r="C1" s="7" t="s">
        <v>2</v>
      </c>
      <c r="D1" s="4" t="s">
        <v>3</v>
      </c>
      <c r="E1" t="s">
        <v>4</v>
      </c>
      <c r="F1" t="s">
        <v>25</v>
      </c>
    </row>
    <row r="2" spans="1:6" x14ac:dyDescent="0.35">
      <c r="A2" s="5">
        <v>44561</v>
      </c>
      <c r="B2" s="2" t="s">
        <v>5</v>
      </c>
      <c r="C2" s="7">
        <v>25192.47</v>
      </c>
      <c r="D2" s="4">
        <f>Table14[[#This Row],[Equity]]/$F$9</f>
        <v>0.32184217737654719</v>
      </c>
      <c r="E2" t="s">
        <v>6</v>
      </c>
      <c r="F2" s="7">
        <f>Table14[[#This Row],[Value]]</f>
        <v>25192.47</v>
      </c>
    </row>
    <row r="3" spans="1:6" x14ac:dyDescent="0.35">
      <c r="A3" s="5">
        <v>44561</v>
      </c>
      <c r="B3" s="2" t="s">
        <v>7</v>
      </c>
      <c r="C3" s="7">
        <v>4407.99</v>
      </c>
      <c r="D3" s="4">
        <f>Table14[[#This Row],[Equity]]/$F$9</f>
        <v>5.6313537317065218E-2</v>
      </c>
      <c r="E3" t="s">
        <v>6</v>
      </c>
      <c r="F3" s="7">
        <f>Table14[[#This Row],[Value]]</f>
        <v>4407.99</v>
      </c>
    </row>
    <row r="4" spans="1:6" x14ac:dyDescent="0.35">
      <c r="A4" s="5">
        <v>44561</v>
      </c>
      <c r="B4" s="2" t="s">
        <v>8</v>
      </c>
      <c r="C4" s="7">
        <v>16679.39</v>
      </c>
      <c r="D4" s="4">
        <f>Table14[[#This Row],[Equity]]/$F$9</f>
        <v>0.21308475091615101</v>
      </c>
      <c r="E4" t="s">
        <v>6</v>
      </c>
      <c r="F4" s="7">
        <f>Table14[[#This Row],[Value]]</f>
        <v>16679.39</v>
      </c>
    </row>
    <row r="5" spans="1:6" x14ac:dyDescent="0.35">
      <c r="A5" s="5">
        <v>44561</v>
      </c>
      <c r="B5" s="2" t="s">
        <v>9</v>
      </c>
      <c r="C5" s="7">
        <v>-25598.639999999999</v>
      </c>
      <c r="D5" s="22">
        <v>1</v>
      </c>
      <c r="E5" t="s">
        <v>10</v>
      </c>
      <c r="F5" s="7">
        <v>0</v>
      </c>
    </row>
    <row r="6" spans="1:6" x14ac:dyDescent="0.35">
      <c r="A6" s="5">
        <v>44561</v>
      </c>
      <c r="B6" s="2" t="s">
        <v>11</v>
      </c>
      <c r="C6" s="7">
        <v>31996</v>
      </c>
      <c r="D6" s="4">
        <f>Table14[[#This Row],[Equity]]/$F$9</f>
        <v>0.40875953439023655</v>
      </c>
      <c r="E6" t="s">
        <v>12</v>
      </c>
      <c r="F6" s="7">
        <f>Table14[[#This Row],[Value]]</f>
        <v>31996</v>
      </c>
    </row>
    <row r="7" spans="1:6" x14ac:dyDescent="0.35">
      <c r="A7" s="5">
        <v>44561</v>
      </c>
      <c r="B7" s="2" t="s">
        <v>13</v>
      </c>
      <c r="C7" s="7">
        <v>0</v>
      </c>
      <c r="D7" s="4">
        <f>Table14[[#This Row],[Equity]]/$F$9</f>
        <v>0</v>
      </c>
      <c r="E7" t="s">
        <v>12</v>
      </c>
      <c r="F7" s="7">
        <f>Table14[[#This Row],[Value]]</f>
        <v>0</v>
      </c>
    </row>
    <row r="8" spans="1:6" s="1" customFormat="1" x14ac:dyDescent="0.35">
      <c r="A8" s="5">
        <v>44561</v>
      </c>
      <c r="B8" s="2" t="s">
        <v>14</v>
      </c>
      <c r="C8" s="7">
        <v>0</v>
      </c>
      <c r="D8" s="4">
        <f>Table14[[#This Row],[Equity]]/$F$9</f>
        <v>0</v>
      </c>
      <c r="E8" t="s">
        <v>6</v>
      </c>
      <c r="F8" s="7">
        <f>Table14[[#This Row],[Value]]</f>
        <v>0</v>
      </c>
    </row>
    <row r="9" spans="1:6" x14ac:dyDescent="0.35">
      <c r="A9" s="5">
        <v>44561</v>
      </c>
      <c r="B9" s="3" t="s">
        <v>15</v>
      </c>
      <c r="C9" s="8">
        <f>SUBTOTAL(109,C2:C8)</f>
        <v>52677.21</v>
      </c>
      <c r="D9" s="6">
        <v>1</v>
      </c>
      <c r="E9" s="1" t="s">
        <v>10</v>
      </c>
      <c r="F9" s="8">
        <f>SUBTOTAL(109,F2:F8)</f>
        <v>78275.850000000006</v>
      </c>
    </row>
    <row r="10" spans="1:6" x14ac:dyDescent="0.35">
      <c r="A10" s="5">
        <v>44592</v>
      </c>
      <c r="B10" s="2" t="s">
        <v>5</v>
      </c>
      <c r="C10" s="7">
        <v>25192.47</v>
      </c>
      <c r="D10" s="4">
        <f>Table14[[#This Row],[Equity]]/$F$17</f>
        <v>0.31559807626066255</v>
      </c>
      <c r="E10" t="s">
        <v>6</v>
      </c>
      <c r="F10" s="7">
        <f>Table14[[#This Row],[Value]]</f>
        <v>25192.47</v>
      </c>
    </row>
    <row r="11" spans="1:6" x14ac:dyDescent="0.35">
      <c r="A11" s="5">
        <v>44592</v>
      </c>
      <c r="B11" s="2" t="s">
        <v>7</v>
      </c>
      <c r="C11" s="7">
        <v>2807.5</v>
      </c>
      <c r="D11" s="4">
        <f>Table14[[#This Row],[Equity]]/$F$17</f>
        <v>3.5170890313725098E-2</v>
      </c>
      <c r="E11" t="s">
        <v>6</v>
      </c>
      <c r="F11" s="7">
        <f>Table14[[#This Row],[Value]]</f>
        <v>2807.5</v>
      </c>
    </row>
    <row r="12" spans="1:6" x14ac:dyDescent="0.35">
      <c r="A12" s="5">
        <v>44592</v>
      </c>
      <c r="B12" s="2" t="s">
        <v>8</v>
      </c>
      <c r="C12" s="7">
        <v>19828.565999999999</v>
      </c>
      <c r="D12" s="4">
        <f>Table14[[#This Row],[Equity]]/$F$17</f>
        <v>0.24840189487603162</v>
      </c>
      <c r="E12" t="s">
        <v>6</v>
      </c>
      <c r="F12" s="7">
        <f>Table14[[#This Row],[Value]]</f>
        <v>19828.565999999999</v>
      </c>
    </row>
    <row r="13" spans="1:6" x14ac:dyDescent="0.35">
      <c r="A13" s="5">
        <v>44592</v>
      </c>
      <c r="B13" s="2" t="s">
        <v>9</v>
      </c>
      <c r="C13" s="7">
        <v>-25598.639999999999</v>
      </c>
      <c r="D13" s="22">
        <v>1</v>
      </c>
      <c r="E13" t="s">
        <v>10</v>
      </c>
      <c r="F13" s="7">
        <v>0</v>
      </c>
    </row>
    <row r="14" spans="1:6" x14ac:dyDescent="0.35">
      <c r="A14" s="5">
        <v>44592</v>
      </c>
      <c r="B14" s="2" t="s">
        <v>11</v>
      </c>
      <c r="C14" s="7">
        <v>31996</v>
      </c>
      <c r="D14" s="4">
        <f>Table14[[#This Row],[Equity]]/$F$17</f>
        <v>0.40082913854958085</v>
      </c>
      <c r="E14" t="s">
        <v>12</v>
      </c>
      <c r="F14" s="7">
        <f>Table14[[#This Row],[Value]]</f>
        <v>31996</v>
      </c>
    </row>
    <row r="15" spans="1:6" s="1" customFormat="1" x14ac:dyDescent="0.35">
      <c r="A15" s="5">
        <v>44592</v>
      </c>
      <c r="B15" s="2" t="s">
        <v>13</v>
      </c>
      <c r="C15" s="7">
        <v>0</v>
      </c>
      <c r="D15" s="4">
        <f>Table14[[#This Row],[Equity]]/$F$17</f>
        <v>0</v>
      </c>
      <c r="E15" t="s">
        <v>12</v>
      </c>
      <c r="F15" s="7">
        <f>Table14[[#This Row],[Value]]</f>
        <v>0</v>
      </c>
    </row>
    <row r="16" spans="1:6" x14ac:dyDescent="0.35">
      <c r="A16" s="5">
        <v>44592</v>
      </c>
      <c r="B16" s="2" t="s">
        <v>14</v>
      </c>
      <c r="C16" s="7">
        <v>0</v>
      </c>
      <c r="D16" s="4">
        <f>Table14[[#This Row],[Equity]]/$F$17</f>
        <v>0</v>
      </c>
      <c r="E16" t="s">
        <v>6</v>
      </c>
      <c r="F16" s="7">
        <f>Table14[[#This Row],[Value]]</f>
        <v>0</v>
      </c>
    </row>
    <row r="17" spans="1:6" x14ac:dyDescent="0.35">
      <c r="A17" s="5">
        <v>44592</v>
      </c>
      <c r="B17" s="3" t="s">
        <v>15</v>
      </c>
      <c r="C17" s="8">
        <f>SUBTOTAL(109,C10:C16)</f>
        <v>54225.896000000001</v>
      </c>
      <c r="D17" s="6">
        <v>1</v>
      </c>
      <c r="E17" s="1" t="s">
        <v>10</v>
      </c>
      <c r="F17" s="8">
        <f>SUBTOTAL(109,F10:F16)</f>
        <v>79824.535999999993</v>
      </c>
    </row>
    <row r="18" spans="1:6" x14ac:dyDescent="0.35">
      <c r="A18" s="5">
        <v>44620</v>
      </c>
      <c r="B18" s="2" t="s">
        <v>5</v>
      </c>
      <c r="C18" s="7">
        <v>15431.73</v>
      </c>
      <c r="D18" s="4">
        <f>Table14[[#This Row],[Equity]]/$F$25</f>
        <v>0.20561103573921283</v>
      </c>
      <c r="E18" t="s">
        <v>6</v>
      </c>
      <c r="F18" s="7">
        <f>Table14[[#This Row],[Value]]</f>
        <v>15431.73</v>
      </c>
    </row>
    <row r="19" spans="1:6" x14ac:dyDescent="0.35">
      <c r="A19" s="5">
        <v>44620</v>
      </c>
      <c r="B19" s="2" t="s">
        <v>7</v>
      </c>
      <c r="C19" s="7">
        <v>4849.6400000000003</v>
      </c>
      <c r="D19" s="4">
        <f>Table14[[#This Row],[Equity]]/$F$25</f>
        <v>6.4616183886208239E-2</v>
      </c>
      <c r="E19" t="s">
        <v>6</v>
      </c>
      <c r="F19" s="7">
        <f>Table14[[#This Row],[Value]]</f>
        <v>4849.6400000000003</v>
      </c>
    </row>
    <row r="20" spans="1:6" x14ac:dyDescent="0.35">
      <c r="A20" s="5">
        <v>44620</v>
      </c>
      <c r="B20" s="2" t="s">
        <v>8</v>
      </c>
      <c r="C20" s="7">
        <v>22775.654000000002</v>
      </c>
      <c r="D20" s="4">
        <f>Table14[[#This Row],[Equity]]/$F$25</f>
        <v>0.30346084389617667</v>
      </c>
      <c r="E20" t="s">
        <v>6</v>
      </c>
      <c r="F20" s="7">
        <f>Table14[[#This Row],[Value]]</f>
        <v>22775.654000000002</v>
      </c>
    </row>
    <row r="21" spans="1:6" x14ac:dyDescent="0.35">
      <c r="A21" s="5">
        <v>44620</v>
      </c>
      <c r="B21" s="2" t="s">
        <v>9</v>
      </c>
      <c r="C21" s="7">
        <v>-25598.639999999999</v>
      </c>
      <c r="D21" s="22">
        <v>1</v>
      </c>
      <c r="E21" t="s">
        <v>10</v>
      </c>
      <c r="F21" s="7">
        <v>0</v>
      </c>
    </row>
    <row r="22" spans="1:6" s="1" customFormat="1" x14ac:dyDescent="0.35">
      <c r="A22" s="5">
        <v>44620</v>
      </c>
      <c r="B22" s="2" t="s">
        <v>11</v>
      </c>
      <c r="C22" s="7">
        <v>31996</v>
      </c>
      <c r="D22" s="4">
        <f>Table14[[#This Row],[Equity]]/$F$25</f>
        <v>0.42631193647840221</v>
      </c>
      <c r="E22" t="s">
        <v>12</v>
      </c>
      <c r="F22" s="7">
        <f>Table14[[#This Row],[Value]]</f>
        <v>31996</v>
      </c>
    </row>
    <row r="23" spans="1:6" x14ac:dyDescent="0.35">
      <c r="A23" s="5">
        <v>44620</v>
      </c>
      <c r="B23" s="2" t="s">
        <v>13</v>
      </c>
      <c r="C23" s="7">
        <v>0</v>
      </c>
      <c r="D23" s="4">
        <f>Table14[[#This Row],[Equity]]/$F$25</f>
        <v>0</v>
      </c>
      <c r="E23" t="s">
        <v>12</v>
      </c>
      <c r="F23" s="7">
        <f>Table14[[#This Row],[Value]]</f>
        <v>0</v>
      </c>
    </row>
    <row r="24" spans="1:6" x14ac:dyDescent="0.35">
      <c r="A24" s="5">
        <v>44620</v>
      </c>
      <c r="B24" s="2" t="s">
        <v>14</v>
      </c>
      <c r="C24" s="7">
        <v>0</v>
      </c>
      <c r="D24" s="4">
        <f>Table14[[#This Row],[Equity]]/$F$25</f>
        <v>0</v>
      </c>
      <c r="E24" t="s">
        <v>6</v>
      </c>
      <c r="F24" s="7">
        <f>Table14[[#This Row],[Value]]</f>
        <v>0</v>
      </c>
    </row>
    <row r="25" spans="1:6" x14ac:dyDescent="0.35">
      <c r="A25" s="5">
        <v>44620</v>
      </c>
      <c r="B25" s="3" t="s">
        <v>15</v>
      </c>
      <c r="C25" s="8">
        <f>SUBTOTAL(109,C18:C24)</f>
        <v>49454.384000000005</v>
      </c>
      <c r="D25" s="6">
        <v>1</v>
      </c>
      <c r="E25" s="1" t="s">
        <v>10</v>
      </c>
      <c r="F25" s="8">
        <f>SUBTOTAL(109,F18:F24)</f>
        <v>75053.024000000005</v>
      </c>
    </row>
    <row r="26" spans="1:6" x14ac:dyDescent="0.35">
      <c r="A26" s="5">
        <v>44651</v>
      </c>
      <c r="B26" s="2" t="s">
        <v>5</v>
      </c>
      <c r="C26" s="7">
        <v>12661.04</v>
      </c>
      <c r="D26" s="4">
        <f>Table14[[#This Row],[Equity]]/$F$33</f>
        <v>0.17639102784528585</v>
      </c>
      <c r="E26" t="s">
        <v>6</v>
      </c>
      <c r="F26" s="7">
        <f>Table14[[#This Row],[Value]]</f>
        <v>12661.04</v>
      </c>
    </row>
    <row r="27" spans="1:6" x14ac:dyDescent="0.35">
      <c r="A27" s="5">
        <v>44651</v>
      </c>
      <c r="B27" s="2" t="s">
        <v>7</v>
      </c>
      <c r="C27" s="7">
        <v>5025.68</v>
      </c>
      <c r="D27" s="4">
        <f>Table14[[#This Row],[Equity]]/$F$33</f>
        <v>7.001674908392172E-2</v>
      </c>
      <c r="E27" t="s">
        <v>6</v>
      </c>
      <c r="F27" s="7">
        <f>Table14[[#This Row],[Value]]</f>
        <v>5025.68</v>
      </c>
    </row>
    <row r="28" spans="1:6" x14ac:dyDescent="0.35">
      <c r="A28" s="5">
        <v>44651</v>
      </c>
      <c r="B28" s="2" t="s">
        <v>8</v>
      </c>
      <c r="C28" s="7">
        <v>26681.534</v>
      </c>
      <c r="D28" s="4">
        <f>Table14[[#This Row],[Equity]]/$F$33</f>
        <v>0.37172169164215113</v>
      </c>
      <c r="E28" t="s">
        <v>6</v>
      </c>
      <c r="F28" s="7">
        <f>Table14[[#This Row],[Value]]</f>
        <v>26681.534</v>
      </c>
    </row>
    <row r="29" spans="1:6" s="1" customFormat="1" x14ac:dyDescent="0.35">
      <c r="A29" s="5">
        <v>44651</v>
      </c>
      <c r="B29" s="2" t="s">
        <v>9</v>
      </c>
      <c r="C29" s="7">
        <v>-25598.639999999999</v>
      </c>
      <c r="D29" s="22">
        <v>1</v>
      </c>
      <c r="E29" t="s">
        <v>10</v>
      </c>
      <c r="F29" s="7">
        <v>0</v>
      </c>
    </row>
    <row r="30" spans="1:6" x14ac:dyDescent="0.35">
      <c r="A30" s="5">
        <v>44651</v>
      </c>
      <c r="B30" s="2" t="s">
        <v>11</v>
      </c>
      <c r="C30" s="7">
        <v>27410</v>
      </c>
      <c r="D30" s="4">
        <f>Table14[[#This Row],[Equity]]/$F$33</f>
        <v>0.3818705314286413</v>
      </c>
      <c r="E30" t="s">
        <v>12</v>
      </c>
      <c r="F30" s="7">
        <f>Table14[[#This Row],[Value]]</f>
        <v>27410</v>
      </c>
    </row>
    <row r="31" spans="1:6" x14ac:dyDescent="0.35">
      <c r="A31" s="5">
        <v>44651</v>
      </c>
      <c r="B31" s="2" t="s">
        <v>13</v>
      </c>
      <c r="C31" s="7">
        <v>0</v>
      </c>
      <c r="D31" s="4">
        <f>Table14[[#This Row],[Equity]]/$F$33</f>
        <v>0</v>
      </c>
      <c r="E31" t="s">
        <v>12</v>
      </c>
      <c r="F31" s="7">
        <f>Table14[[#This Row],[Value]]</f>
        <v>0</v>
      </c>
    </row>
    <row r="32" spans="1:6" x14ac:dyDescent="0.35">
      <c r="A32" s="5">
        <v>44651</v>
      </c>
      <c r="B32" s="2" t="s">
        <v>14</v>
      </c>
      <c r="C32" s="7">
        <v>0</v>
      </c>
      <c r="D32" s="4">
        <f>Table14[[#This Row],[Equity]]/$F$33</f>
        <v>0</v>
      </c>
      <c r="E32" t="s">
        <v>6</v>
      </c>
      <c r="F32" s="7">
        <f>Table14[[#This Row],[Value]]</f>
        <v>0</v>
      </c>
    </row>
    <row r="33" spans="1:6" x14ac:dyDescent="0.35">
      <c r="A33" s="5">
        <v>44651</v>
      </c>
      <c r="B33" s="3" t="s">
        <v>15</v>
      </c>
      <c r="C33" s="8">
        <f>SUBTOTAL(109,C26:C32)</f>
        <v>46179.614000000001</v>
      </c>
      <c r="D33" s="6">
        <v>1</v>
      </c>
      <c r="E33" s="1" t="s">
        <v>10</v>
      </c>
      <c r="F33" s="8">
        <f>SUBTOTAL(109,F26:F32)</f>
        <v>71778.254000000001</v>
      </c>
    </row>
    <row r="34" spans="1:6" x14ac:dyDescent="0.35">
      <c r="A34" s="5">
        <v>44681</v>
      </c>
      <c r="B34" s="2" t="s">
        <v>5</v>
      </c>
      <c r="C34" s="7">
        <v>12161.02</v>
      </c>
      <c r="D34" s="4">
        <f>Table14[[#This Row],[Equity]]/$F$41</f>
        <v>0.17311655378449586</v>
      </c>
      <c r="E34" t="s">
        <v>6</v>
      </c>
      <c r="F34" s="7">
        <f>Table14[[#This Row],[Value]]</f>
        <v>12161.02</v>
      </c>
    </row>
    <row r="35" spans="1:6" x14ac:dyDescent="0.35">
      <c r="A35" s="5">
        <v>44681</v>
      </c>
      <c r="B35" s="2" t="s">
        <v>7</v>
      </c>
      <c r="C35" s="7">
        <v>4451.13</v>
      </c>
      <c r="D35" s="4">
        <f>Table14[[#This Row],[Equity]]/$F$41</f>
        <v>6.3363458496637867E-2</v>
      </c>
      <c r="E35" t="s">
        <v>6</v>
      </c>
      <c r="F35" s="7">
        <f>Table14[[#This Row],[Value]]</f>
        <v>4451.13</v>
      </c>
    </row>
    <row r="36" spans="1:6" s="1" customFormat="1" x14ac:dyDescent="0.35">
      <c r="A36" s="5">
        <v>44681</v>
      </c>
      <c r="B36" s="2" t="s">
        <v>8</v>
      </c>
      <c r="C36" s="7">
        <v>26225.436000000002</v>
      </c>
      <c r="D36" s="4">
        <f>Table14[[#This Row],[Equity]]/$F$41</f>
        <v>0.37332864363481472</v>
      </c>
      <c r="E36" t="s">
        <v>6</v>
      </c>
      <c r="F36" s="7">
        <f>Table14[[#This Row],[Value]]</f>
        <v>26225.436000000002</v>
      </c>
    </row>
    <row r="37" spans="1:6" x14ac:dyDescent="0.35">
      <c r="A37" s="5">
        <v>44681</v>
      </c>
      <c r="B37" s="2" t="s">
        <v>9</v>
      </c>
      <c r="C37" s="7">
        <v>-25598.639999999999</v>
      </c>
      <c r="D37" s="22">
        <v>1</v>
      </c>
      <c r="E37" t="s">
        <v>10</v>
      </c>
      <c r="F37" s="7">
        <v>0</v>
      </c>
    </row>
    <row r="38" spans="1:6" x14ac:dyDescent="0.35">
      <c r="A38" s="5">
        <v>44681</v>
      </c>
      <c r="B38" s="2" t="s">
        <v>11</v>
      </c>
      <c r="C38" s="7">
        <v>27410</v>
      </c>
      <c r="D38" s="4">
        <f>Table14[[#This Row],[Equity]]/$F$41</f>
        <v>0.39019134408405148</v>
      </c>
      <c r="E38" t="s">
        <v>12</v>
      </c>
      <c r="F38" s="7">
        <f>Table14[[#This Row],[Value]]</f>
        <v>27410</v>
      </c>
    </row>
    <row r="39" spans="1:6" x14ac:dyDescent="0.35">
      <c r="A39" s="5">
        <v>44681</v>
      </c>
      <c r="B39" s="2" t="s">
        <v>13</v>
      </c>
      <c r="C39" s="7">
        <v>0</v>
      </c>
      <c r="D39" s="4">
        <f>Table14[[#This Row],[Equity]]/$F$41</f>
        <v>0</v>
      </c>
      <c r="E39" t="s">
        <v>12</v>
      </c>
      <c r="F39" s="7">
        <f>Table14[[#This Row],[Value]]</f>
        <v>0</v>
      </c>
    </row>
    <row r="40" spans="1:6" x14ac:dyDescent="0.35">
      <c r="A40" s="5">
        <v>44681</v>
      </c>
      <c r="B40" s="2" t="s">
        <v>14</v>
      </c>
      <c r="C40" s="7">
        <v>0</v>
      </c>
      <c r="D40" s="4">
        <f>Table14[[#This Row],[Equity]]/$F$41</f>
        <v>0</v>
      </c>
      <c r="E40" t="s">
        <v>6</v>
      </c>
      <c r="F40" s="7">
        <f>Table14[[#This Row],[Value]]</f>
        <v>0</v>
      </c>
    </row>
    <row r="41" spans="1:6" x14ac:dyDescent="0.35">
      <c r="A41" s="5">
        <v>44681</v>
      </c>
      <c r="B41" s="3" t="s">
        <v>15</v>
      </c>
      <c r="C41" s="8">
        <f>SUBTOTAL(109,C34:C40)</f>
        <v>44648.946000000004</v>
      </c>
      <c r="D41" s="6">
        <v>1</v>
      </c>
      <c r="E41" s="1" t="s">
        <v>10</v>
      </c>
      <c r="F41" s="8">
        <f>SUBTOTAL(109,F34:F40)</f>
        <v>70247.58600000001</v>
      </c>
    </row>
    <row r="42" spans="1:6" x14ac:dyDescent="0.35">
      <c r="A42" s="5">
        <v>44712</v>
      </c>
      <c r="B42" s="2" t="s">
        <v>5</v>
      </c>
      <c r="C42" s="7">
        <v>14057.01</v>
      </c>
      <c r="D42" s="4">
        <f>Table14[[#This Row],[Equity]]/$F$49</f>
        <v>0.19863660520857959</v>
      </c>
      <c r="E42" t="s">
        <v>6</v>
      </c>
      <c r="F42" s="7">
        <f>Table14[[#This Row],[Value]]</f>
        <v>14057.01</v>
      </c>
    </row>
    <row r="43" spans="1:6" s="1" customFormat="1" x14ac:dyDescent="0.35">
      <c r="A43" s="5">
        <v>44712</v>
      </c>
      <c r="B43" s="2" t="s">
        <v>7</v>
      </c>
      <c r="C43" s="7">
        <v>3198.26</v>
      </c>
      <c r="D43" s="4">
        <f>Table14[[#This Row],[Equity]]/$F$49</f>
        <v>4.5193928792423982E-2</v>
      </c>
      <c r="E43" t="s">
        <v>6</v>
      </c>
      <c r="F43" s="7">
        <f>Table14[[#This Row],[Value]]</f>
        <v>3198.26</v>
      </c>
    </row>
    <row r="44" spans="1:6" x14ac:dyDescent="0.35">
      <c r="A44" s="5">
        <v>44712</v>
      </c>
      <c r="B44" s="2" t="s">
        <v>8</v>
      </c>
      <c r="C44" s="7">
        <v>26102.2</v>
      </c>
      <c r="D44" s="4">
        <f>Table14[[#This Row],[Equity]]/$F$49</f>
        <v>0.36884461179691741</v>
      </c>
      <c r="E44" t="s">
        <v>6</v>
      </c>
      <c r="F44" s="7">
        <f>Table14[[#This Row],[Value]]</f>
        <v>26102.2</v>
      </c>
    </row>
    <row r="45" spans="1:6" x14ac:dyDescent="0.35">
      <c r="A45" s="5">
        <v>44712</v>
      </c>
      <c r="B45" s="2" t="s">
        <v>9</v>
      </c>
      <c r="C45" s="7">
        <v>-25598.639999999999</v>
      </c>
      <c r="D45" s="22">
        <v>1</v>
      </c>
      <c r="E45" t="s">
        <v>10</v>
      </c>
      <c r="F45" s="7">
        <v>0</v>
      </c>
    </row>
    <row r="46" spans="1:6" x14ac:dyDescent="0.35">
      <c r="A46" s="5">
        <v>44712</v>
      </c>
      <c r="B46" s="2" t="s">
        <v>11</v>
      </c>
      <c r="C46" s="7">
        <v>27410</v>
      </c>
      <c r="D46" s="4">
        <f>Table14[[#This Row],[Equity]]/$F$49</f>
        <v>0.38732485420207902</v>
      </c>
      <c r="E46" t="s">
        <v>12</v>
      </c>
      <c r="F46" s="7">
        <f>Table14[[#This Row],[Value]]</f>
        <v>27410</v>
      </c>
    </row>
    <row r="47" spans="1:6" x14ac:dyDescent="0.35">
      <c r="A47" s="5">
        <v>44712</v>
      </c>
      <c r="B47" s="2" t="s">
        <v>13</v>
      </c>
      <c r="C47" s="7">
        <v>0</v>
      </c>
      <c r="D47" s="4">
        <f>Table14[[#This Row],[Equity]]/$F$49</f>
        <v>0</v>
      </c>
      <c r="E47" t="s">
        <v>12</v>
      </c>
      <c r="F47" s="7">
        <f>Table14[[#This Row],[Value]]</f>
        <v>0</v>
      </c>
    </row>
    <row r="48" spans="1:6" x14ac:dyDescent="0.35">
      <c r="A48" s="5">
        <v>44712</v>
      </c>
      <c r="B48" s="2" t="s">
        <v>14</v>
      </c>
      <c r="C48" s="7">
        <v>0</v>
      </c>
      <c r="D48" s="4">
        <f>Table14[[#This Row],[Equity]]/$F$49</f>
        <v>0</v>
      </c>
      <c r="E48" t="s">
        <v>6</v>
      </c>
      <c r="F48" s="7">
        <f>Table14[[#This Row],[Value]]</f>
        <v>0</v>
      </c>
    </row>
    <row r="49" spans="1:6" x14ac:dyDescent="0.35">
      <c r="A49" s="5">
        <v>44712</v>
      </c>
      <c r="B49" s="3" t="s">
        <v>15</v>
      </c>
      <c r="C49" s="8">
        <f>SUBTOTAL(109,C42:C48)</f>
        <v>45168.83</v>
      </c>
      <c r="D49" s="6">
        <v>1</v>
      </c>
      <c r="E49" s="1" t="s">
        <v>10</v>
      </c>
      <c r="F49" s="8">
        <f>SUBTOTAL(109,F42:F48)</f>
        <v>70767.47</v>
      </c>
    </row>
    <row r="50" spans="1:6" s="1" customFormat="1" x14ac:dyDescent="0.35">
      <c r="A50" s="5">
        <v>44742</v>
      </c>
      <c r="B50" s="2" t="s">
        <v>5</v>
      </c>
      <c r="C50" s="7">
        <v>13643.390000000001</v>
      </c>
      <c r="D50" s="4">
        <f>Table14[[#This Row],[Equity]]/$F$57</f>
        <v>0.21085398879895514</v>
      </c>
      <c r="E50" t="s">
        <v>6</v>
      </c>
      <c r="F50" s="7">
        <f>Table14[[#This Row],[Value]]</f>
        <v>13643.390000000001</v>
      </c>
    </row>
    <row r="51" spans="1:6" x14ac:dyDescent="0.35">
      <c r="A51" s="5">
        <v>44742</v>
      </c>
      <c r="B51" s="2" t="s">
        <v>7</v>
      </c>
      <c r="C51" s="7">
        <v>2335.12</v>
      </c>
      <c r="D51" s="4">
        <f>Table14[[#This Row],[Equity]]/$F$57</f>
        <v>3.6088491666969577E-2</v>
      </c>
      <c r="E51" t="s">
        <v>6</v>
      </c>
      <c r="F51" s="7">
        <f>Table14[[#This Row],[Value]]</f>
        <v>2335.12</v>
      </c>
    </row>
    <row r="52" spans="1:6" x14ac:dyDescent="0.35">
      <c r="A52" s="5">
        <v>44742</v>
      </c>
      <c r="B52" s="2" t="s">
        <v>8</v>
      </c>
      <c r="C52" s="7">
        <v>25233.881999999998</v>
      </c>
      <c r="D52" s="4">
        <f>Table14[[#This Row],[Equity]]/$F$57</f>
        <v>0.38998113171155813</v>
      </c>
      <c r="E52" t="s">
        <v>6</v>
      </c>
      <c r="F52" s="7">
        <f>Table14[[#This Row],[Value]]</f>
        <v>25233.881999999998</v>
      </c>
    </row>
    <row r="53" spans="1:6" x14ac:dyDescent="0.35">
      <c r="A53" s="5">
        <v>44742</v>
      </c>
      <c r="B53" s="2" t="s">
        <v>9</v>
      </c>
      <c r="C53" s="7">
        <v>-25598.639999999999</v>
      </c>
      <c r="D53" s="22">
        <v>1</v>
      </c>
      <c r="E53" t="s">
        <v>10</v>
      </c>
      <c r="F53" s="7">
        <v>0</v>
      </c>
    </row>
    <row r="54" spans="1:6" x14ac:dyDescent="0.35">
      <c r="A54" s="5">
        <v>44742</v>
      </c>
      <c r="B54" s="2" t="s">
        <v>11</v>
      </c>
      <c r="C54" s="7">
        <v>23493</v>
      </c>
      <c r="D54" s="4">
        <f>Table14[[#This Row],[Equity]]/$F$57</f>
        <v>0.36307638782251717</v>
      </c>
      <c r="E54" t="s">
        <v>12</v>
      </c>
      <c r="F54" s="7">
        <f>Table14[[#This Row],[Value]]</f>
        <v>23493</v>
      </c>
    </row>
    <row r="55" spans="1:6" x14ac:dyDescent="0.35">
      <c r="A55" s="5">
        <v>44742</v>
      </c>
      <c r="B55" s="2" t="s">
        <v>13</v>
      </c>
      <c r="C55" s="7">
        <v>0</v>
      </c>
      <c r="D55" s="4">
        <f>Table14[[#This Row],[Equity]]/$F$57</f>
        <v>0</v>
      </c>
      <c r="E55" t="s">
        <v>12</v>
      </c>
      <c r="F55" s="7">
        <f>Table14[[#This Row],[Value]]</f>
        <v>0</v>
      </c>
    </row>
    <row r="56" spans="1:6" x14ac:dyDescent="0.35">
      <c r="A56" s="5">
        <v>44742</v>
      </c>
      <c r="B56" s="2" t="s">
        <v>14</v>
      </c>
      <c r="C56" s="7">
        <v>0</v>
      </c>
      <c r="D56" s="4">
        <f>Table14[[#This Row],[Equity]]/$F$57</f>
        <v>0</v>
      </c>
      <c r="E56" t="s">
        <v>6</v>
      </c>
      <c r="F56" s="7">
        <f>Table14[[#This Row],[Value]]</f>
        <v>0</v>
      </c>
    </row>
    <row r="57" spans="1:6" s="1" customFormat="1" x14ac:dyDescent="0.35">
      <c r="A57" s="5">
        <v>44742</v>
      </c>
      <c r="B57" s="3" t="s">
        <v>15</v>
      </c>
      <c r="C57" s="8">
        <f>SUBTOTAL(109,C50:C56)</f>
        <v>39106.752</v>
      </c>
      <c r="D57" s="6">
        <v>1</v>
      </c>
      <c r="E57" s="1" t="s">
        <v>10</v>
      </c>
      <c r="F57" s="8">
        <f>SUBTOTAL(109,F50:F56)</f>
        <v>64705.392</v>
      </c>
    </row>
    <row r="58" spans="1:6" x14ac:dyDescent="0.35">
      <c r="A58" s="5">
        <v>44773</v>
      </c>
      <c r="B58" s="2" t="s">
        <v>5</v>
      </c>
      <c r="C58" s="7">
        <v>12483.41</v>
      </c>
      <c r="D58" s="4">
        <f>Table14[[#This Row],[Equity]]/$F$65</f>
        <v>0.18847295419652207</v>
      </c>
      <c r="E58" t="s">
        <v>6</v>
      </c>
      <c r="F58" s="7">
        <f>Table14[[#This Row],[Value]]</f>
        <v>12483.41</v>
      </c>
    </row>
    <row r="59" spans="1:6" x14ac:dyDescent="0.35">
      <c r="A59" s="5">
        <v>44773</v>
      </c>
      <c r="B59" s="2" t="s">
        <v>7</v>
      </c>
      <c r="C59" s="7">
        <v>2966.93</v>
      </c>
      <c r="D59" s="4">
        <f>Table14[[#This Row],[Equity]]/$F$65</f>
        <v>4.4794336002285211E-2</v>
      </c>
      <c r="E59" t="s">
        <v>6</v>
      </c>
      <c r="F59" s="7">
        <f>Table14[[#This Row],[Value]]</f>
        <v>2966.93</v>
      </c>
    </row>
    <row r="60" spans="1:6" x14ac:dyDescent="0.35">
      <c r="A60" s="5">
        <v>44773</v>
      </c>
      <c r="B60" s="2" t="s">
        <v>8</v>
      </c>
      <c r="C60" s="7">
        <v>27291.15</v>
      </c>
      <c r="D60" s="4">
        <f>Table14[[#This Row],[Equity]]/$F$65</f>
        <v>0.4120383504123003</v>
      </c>
      <c r="E60" t="s">
        <v>6</v>
      </c>
      <c r="F60" s="7">
        <f>Table14[[#This Row],[Value]]</f>
        <v>27291.15</v>
      </c>
    </row>
    <row r="61" spans="1:6" x14ac:dyDescent="0.35">
      <c r="A61" s="5">
        <v>44773</v>
      </c>
      <c r="B61" s="2" t="s">
        <v>9</v>
      </c>
      <c r="C61" s="7">
        <v>-25598.639999999999</v>
      </c>
      <c r="D61" s="22">
        <v>1</v>
      </c>
      <c r="E61" t="s">
        <v>10</v>
      </c>
      <c r="F61" s="7">
        <v>0</v>
      </c>
    </row>
    <row r="62" spans="1:6" x14ac:dyDescent="0.35">
      <c r="A62" s="5">
        <v>44773</v>
      </c>
      <c r="B62" s="2" t="s">
        <v>11</v>
      </c>
      <c r="C62" s="7">
        <v>23493</v>
      </c>
      <c r="D62" s="4">
        <f>Table14[[#This Row],[Equity]]/$F$65</f>
        <v>0.35469435938889238</v>
      </c>
      <c r="E62" t="s">
        <v>12</v>
      </c>
      <c r="F62" s="7">
        <f>Table14[[#This Row],[Value]]</f>
        <v>23493</v>
      </c>
    </row>
    <row r="63" spans="1:6" x14ac:dyDescent="0.35">
      <c r="A63" s="5">
        <v>44773</v>
      </c>
      <c r="B63" s="2" t="s">
        <v>13</v>
      </c>
      <c r="C63" s="7">
        <v>0</v>
      </c>
      <c r="D63" s="4">
        <f>Table14[[#This Row],[Equity]]/$F$65</f>
        <v>0</v>
      </c>
      <c r="E63" t="s">
        <v>12</v>
      </c>
      <c r="F63" s="7">
        <f>Table14[[#This Row],[Value]]</f>
        <v>0</v>
      </c>
    </row>
    <row r="64" spans="1:6" s="1" customFormat="1" x14ac:dyDescent="0.35">
      <c r="A64" s="5">
        <v>44773</v>
      </c>
      <c r="B64" s="2" t="s">
        <v>14</v>
      </c>
      <c r="C64" s="7">
        <v>0</v>
      </c>
      <c r="D64" s="4">
        <f>Table14[[#This Row],[Equity]]/$F$65</f>
        <v>0</v>
      </c>
      <c r="E64" t="s">
        <v>6</v>
      </c>
      <c r="F64" s="7">
        <f>Table14[[#This Row],[Value]]</f>
        <v>0</v>
      </c>
    </row>
    <row r="65" spans="1:6" x14ac:dyDescent="0.35">
      <c r="A65" s="5">
        <v>44773</v>
      </c>
      <c r="B65" s="3" t="s">
        <v>15</v>
      </c>
      <c r="C65" s="8">
        <f>SUBTOTAL(109,C58:C64)</f>
        <v>40635.850000000006</v>
      </c>
      <c r="D65" s="6">
        <v>1</v>
      </c>
      <c r="E65" s="1" t="s">
        <v>10</v>
      </c>
      <c r="F65" s="8">
        <f>SUBTOTAL(109,F58:F64)</f>
        <v>66234.490000000005</v>
      </c>
    </row>
    <row r="66" spans="1:6" x14ac:dyDescent="0.35">
      <c r="A66" s="5">
        <v>44804</v>
      </c>
      <c r="B66" s="2" t="s">
        <v>5</v>
      </c>
      <c r="C66" s="7">
        <v>12387.64</v>
      </c>
      <c r="D66" s="4">
        <f>Table14[[#This Row],[Equity]]/$F$73</f>
        <v>0.19015521509769445</v>
      </c>
      <c r="E66" t="s">
        <v>6</v>
      </c>
      <c r="F66" s="7">
        <f>Table14[[#This Row],[Value]]</f>
        <v>12387.64</v>
      </c>
    </row>
    <row r="67" spans="1:6" x14ac:dyDescent="0.35">
      <c r="A67" s="5">
        <v>44804</v>
      </c>
      <c r="B67" s="2" t="s">
        <v>7</v>
      </c>
      <c r="C67" s="7">
        <v>2579.89</v>
      </c>
      <c r="D67" s="4">
        <f>Table14[[#This Row],[Equity]]/$F$73</f>
        <v>3.9602340548998111E-2</v>
      </c>
      <c r="E67" t="s">
        <v>6</v>
      </c>
      <c r="F67" s="7">
        <f>Table14[[#This Row],[Value]]</f>
        <v>2579.89</v>
      </c>
    </row>
    <row r="68" spans="1:6" x14ac:dyDescent="0.35">
      <c r="A68" s="5">
        <v>44804</v>
      </c>
      <c r="B68" s="2" t="s">
        <v>8</v>
      </c>
      <c r="C68" s="7">
        <v>26684.357</v>
      </c>
      <c r="D68" s="4">
        <f>Table14[[#This Row],[Equity]]/$F$73</f>
        <v>0.40961552362505438</v>
      </c>
      <c r="E68" t="s">
        <v>6</v>
      </c>
      <c r="F68" s="7">
        <f>Table14[[#This Row],[Value]]</f>
        <v>26684.357</v>
      </c>
    </row>
    <row r="69" spans="1:6" x14ac:dyDescent="0.35">
      <c r="A69" s="5">
        <v>44804</v>
      </c>
      <c r="B69" s="2" t="s">
        <v>9</v>
      </c>
      <c r="C69" s="7">
        <v>-25598.639999999999</v>
      </c>
      <c r="D69" s="22">
        <v>1</v>
      </c>
      <c r="E69" t="s">
        <v>10</v>
      </c>
      <c r="F69" s="7">
        <v>0</v>
      </c>
    </row>
    <row r="70" spans="1:6" x14ac:dyDescent="0.35">
      <c r="A70" s="5">
        <v>44804</v>
      </c>
      <c r="B70" s="2" t="s">
        <v>11</v>
      </c>
      <c r="C70" s="7">
        <v>23493</v>
      </c>
      <c r="D70" s="4">
        <f>Table14[[#This Row],[Equity]]/$F$73</f>
        <v>0.36062692072825298</v>
      </c>
      <c r="E70" t="s">
        <v>12</v>
      </c>
      <c r="F70" s="7">
        <f>Table14[[#This Row],[Value]]</f>
        <v>23493</v>
      </c>
    </row>
    <row r="71" spans="1:6" s="1" customFormat="1" x14ac:dyDescent="0.35">
      <c r="A71" s="5">
        <v>44804</v>
      </c>
      <c r="B71" s="2" t="s">
        <v>13</v>
      </c>
      <c r="C71" s="7">
        <v>0</v>
      </c>
      <c r="D71" s="4">
        <f>Table14[[#This Row],[Equity]]/$F$73</f>
        <v>0</v>
      </c>
      <c r="E71" t="s">
        <v>12</v>
      </c>
      <c r="F71" s="7">
        <f>Table14[[#This Row],[Value]]</f>
        <v>0</v>
      </c>
    </row>
    <row r="72" spans="1:6" x14ac:dyDescent="0.35">
      <c r="A72" s="5">
        <v>44804</v>
      </c>
      <c r="B72" s="2" t="s">
        <v>14</v>
      </c>
      <c r="C72" s="7">
        <v>0</v>
      </c>
      <c r="D72" s="4">
        <f>Table14[[#This Row],[Equity]]/$F$73</f>
        <v>0</v>
      </c>
      <c r="E72" t="s">
        <v>6</v>
      </c>
      <c r="F72" s="7">
        <f>Table14[[#This Row],[Value]]</f>
        <v>0</v>
      </c>
    </row>
    <row r="73" spans="1:6" x14ac:dyDescent="0.35">
      <c r="A73" s="5">
        <v>44804</v>
      </c>
      <c r="B73" s="3" t="s">
        <v>15</v>
      </c>
      <c r="C73" s="8">
        <f>SUBTOTAL(109,C66:C72)</f>
        <v>39546.247000000003</v>
      </c>
      <c r="D73" s="6">
        <v>1</v>
      </c>
      <c r="E73" s="1" t="s">
        <v>10</v>
      </c>
      <c r="F73" s="8">
        <f>SUBTOTAL(109,F66:F72)</f>
        <v>65144.887000000002</v>
      </c>
    </row>
    <row r="74" spans="1:6" x14ac:dyDescent="0.35">
      <c r="A74" s="5">
        <v>44834</v>
      </c>
      <c r="B74" s="2" t="s">
        <v>5</v>
      </c>
      <c r="C74" s="7">
        <v>12693.36</v>
      </c>
      <c r="D74" s="4">
        <f>Table14[[#This Row],[Equity]]/$F$81</f>
        <v>0.20493598696894016</v>
      </c>
      <c r="E74" t="s">
        <v>6</v>
      </c>
      <c r="F74" s="7">
        <f>Table14[[#This Row],[Value]]</f>
        <v>12693.36</v>
      </c>
    </row>
    <row r="75" spans="1:6" x14ac:dyDescent="0.35">
      <c r="A75" s="5">
        <v>44834</v>
      </c>
      <c r="B75" s="2" t="s">
        <v>7</v>
      </c>
      <c r="C75" s="7">
        <v>2489.37</v>
      </c>
      <c r="D75" s="4">
        <f>Table14[[#This Row],[Equity]]/$F$81</f>
        <v>4.0191210040593707E-2</v>
      </c>
      <c r="E75" t="s">
        <v>6</v>
      </c>
      <c r="F75" s="7">
        <f>Table14[[#This Row],[Value]]</f>
        <v>2489.37</v>
      </c>
    </row>
    <row r="76" spans="1:6" x14ac:dyDescent="0.35">
      <c r="A76" s="5">
        <v>44834</v>
      </c>
      <c r="B76" s="2" t="s">
        <v>8</v>
      </c>
      <c r="C76" s="7">
        <v>25008.44</v>
      </c>
      <c r="D76" s="4">
        <f>Table14[[#This Row],[Equity]]/$F$81</f>
        <v>0.40376459298038669</v>
      </c>
      <c r="E76" t="s">
        <v>6</v>
      </c>
      <c r="F76" s="7">
        <f>Table14[[#This Row],[Value]]</f>
        <v>25008.44</v>
      </c>
    </row>
    <row r="77" spans="1:6" x14ac:dyDescent="0.35">
      <c r="A77" s="5">
        <v>44834</v>
      </c>
      <c r="B77" s="2" t="s">
        <v>9</v>
      </c>
      <c r="C77" s="7">
        <v>-25598.639999999999</v>
      </c>
      <c r="D77" s="22">
        <v>1</v>
      </c>
      <c r="E77" t="s">
        <v>10</v>
      </c>
      <c r="F77" s="7">
        <v>0</v>
      </c>
    </row>
    <row r="78" spans="1:6" s="1" customFormat="1" x14ac:dyDescent="0.35">
      <c r="A78" s="5">
        <v>44834</v>
      </c>
      <c r="B78" s="2" t="s">
        <v>11</v>
      </c>
      <c r="C78" s="7">
        <v>21747</v>
      </c>
      <c r="D78" s="4">
        <f>Table14[[#This Row],[Equity]]/$F$81</f>
        <v>0.35110821001007941</v>
      </c>
      <c r="E78" t="s">
        <v>12</v>
      </c>
      <c r="F78" s="7">
        <f>Table14[[#This Row],[Value]]</f>
        <v>21747</v>
      </c>
    </row>
    <row r="79" spans="1:6" x14ac:dyDescent="0.35">
      <c r="A79" s="5">
        <v>44834</v>
      </c>
      <c r="B79" s="2" t="s">
        <v>13</v>
      </c>
      <c r="C79" s="7">
        <v>0</v>
      </c>
      <c r="D79" s="4">
        <f>Table14[[#This Row],[Equity]]/$F$81</f>
        <v>0</v>
      </c>
      <c r="E79" t="s">
        <v>12</v>
      </c>
      <c r="F79" s="7">
        <f>Table14[[#This Row],[Value]]</f>
        <v>0</v>
      </c>
    </row>
    <row r="80" spans="1:6" x14ac:dyDescent="0.35">
      <c r="A80" s="5">
        <v>44834</v>
      </c>
      <c r="B80" s="2" t="s">
        <v>14</v>
      </c>
      <c r="C80" s="7">
        <v>0</v>
      </c>
      <c r="D80" s="4">
        <f>Table14[[#This Row],[Equity]]/$F$81</f>
        <v>0</v>
      </c>
      <c r="E80" t="s">
        <v>6</v>
      </c>
      <c r="F80" s="7">
        <f>Table14[[#This Row],[Value]]</f>
        <v>0</v>
      </c>
    </row>
    <row r="81" spans="1:6" x14ac:dyDescent="0.35">
      <c r="A81" s="5">
        <v>44834</v>
      </c>
      <c r="B81" s="3" t="s">
        <v>15</v>
      </c>
      <c r="C81" s="8">
        <f>SUBTOTAL(109,C74:C80)</f>
        <v>36339.53</v>
      </c>
      <c r="D81" s="6">
        <v>1</v>
      </c>
      <c r="E81" s="1" t="s">
        <v>10</v>
      </c>
      <c r="F81" s="8">
        <f>SUBTOTAL(109,F74:F80)</f>
        <v>61938.17</v>
      </c>
    </row>
    <row r="82" spans="1:6" x14ac:dyDescent="0.35">
      <c r="A82" s="5">
        <v>44865</v>
      </c>
      <c r="B82" s="2" t="s">
        <v>5</v>
      </c>
      <c r="C82" s="7">
        <v>12609.689999999999</v>
      </c>
      <c r="D82" s="4">
        <f>Table14[[#This Row],[Equity]]/$F$89</f>
        <v>0.20054259476753217</v>
      </c>
      <c r="E82" t="s">
        <v>6</v>
      </c>
      <c r="F82" s="7">
        <f>Table14[[#This Row],[Value]]</f>
        <v>12609.689999999999</v>
      </c>
    </row>
    <row r="83" spans="1:6" x14ac:dyDescent="0.35">
      <c r="A83" s="5">
        <v>44865</v>
      </c>
      <c r="B83" s="2" t="s">
        <v>7</v>
      </c>
      <c r="C83" s="7">
        <v>2536.63</v>
      </c>
      <c r="D83" s="4">
        <f>Table14[[#This Row],[Equity]]/$F$89</f>
        <v>4.0342178290280348E-2</v>
      </c>
      <c r="E83" t="s">
        <v>6</v>
      </c>
      <c r="F83" s="7">
        <f>Table14[[#This Row],[Value]]</f>
        <v>2536.63</v>
      </c>
    </row>
    <row r="84" spans="1:6" x14ac:dyDescent="0.35">
      <c r="A84" s="5">
        <v>44865</v>
      </c>
      <c r="B84" s="2" t="s">
        <v>8</v>
      </c>
      <c r="C84" s="7">
        <v>25984.544000000005</v>
      </c>
      <c r="D84" s="4">
        <f>Table14[[#This Row],[Equity]]/$F$89</f>
        <v>0.41325424158810492</v>
      </c>
      <c r="E84" t="s">
        <v>6</v>
      </c>
      <c r="F84" s="7">
        <f>Table14[[#This Row],[Value]]</f>
        <v>25984.544000000005</v>
      </c>
    </row>
    <row r="85" spans="1:6" s="1" customFormat="1" x14ac:dyDescent="0.35">
      <c r="A85" s="5">
        <v>44865</v>
      </c>
      <c r="B85" s="2" t="s">
        <v>9</v>
      </c>
      <c r="C85" s="7">
        <v>-25598.639999999999</v>
      </c>
      <c r="D85" s="22">
        <v>1</v>
      </c>
      <c r="E85" t="s">
        <v>10</v>
      </c>
      <c r="F85" s="7">
        <v>0</v>
      </c>
    </row>
    <row r="86" spans="1:6" x14ac:dyDescent="0.35">
      <c r="A86" s="5">
        <v>44865</v>
      </c>
      <c r="B86" s="2" t="s">
        <v>11</v>
      </c>
      <c r="C86" s="7">
        <v>21747</v>
      </c>
      <c r="D86" s="4">
        <f>Table14[[#This Row],[Equity]]/$F$89</f>
        <v>0.34586098535408261</v>
      </c>
      <c r="E86" t="s">
        <v>12</v>
      </c>
      <c r="F86" s="7">
        <f>Table14[[#This Row],[Value]]</f>
        <v>21747</v>
      </c>
    </row>
    <row r="87" spans="1:6" x14ac:dyDescent="0.35">
      <c r="A87" s="5">
        <v>44865</v>
      </c>
      <c r="B87" s="2" t="s">
        <v>13</v>
      </c>
      <c r="C87" s="7">
        <v>0</v>
      </c>
      <c r="D87" s="4">
        <f>Table14[[#This Row],[Equity]]/$F$89</f>
        <v>0</v>
      </c>
      <c r="E87" t="s">
        <v>12</v>
      </c>
      <c r="F87" s="7">
        <f>Table14[[#This Row],[Value]]</f>
        <v>0</v>
      </c>
    </row>
    <row r="88" spans="1:6" x14ac:dyDescent="0.35">
      <c r="A88" s="5">
        <v>44865</v>
      </c>
      <c r="B88" s="2" t="s">
        <v>14</v>
      </c>
      <c r="C88" s="7">
        <v>0</v>
      </c>
      <c r="D88" s="4">
        <f>Table14[[#This Row],[Equity]]/$F$89</f>
        <v>0</v>
      </c>
      <c r="E88" t="s">
        <v>6</v>
      </c>
      <c r="F88" s="7">
        <f>Table14[[#This Row],[Value]]</f>
        <v>0</v>
      </c>
    </row>
    <row r="89" spans="1:6" x14ac:dyDescent="0.35">
      <c r="A89" s="5">
        <v>44865</v>
      </c>
      <c r="B89" s="3" t="s">
        <v>15</v>
      </c>
      <c r="C89" s="8">
        <f>SUBTOTAL(109,C82:C88)</f>
        <v>37279.224000000002</v>
      </c>
      <c r="D89" s="6">
        <v>1</v>
      </c>
      <c r="E89" s="1" t="s">
        <v>10</v>
      </c>
      <c r="F89" s="8">
        <f>SUBTOTAL(109,F82:F88)</f>
        <v>62877.864000000001</v>
      </c>
    </row>
    <row r="90" spans="1:6" x14ac:dyDescent="0.35">
      <c r="A90" s="5">
        <v>44895</v>
      </c>
      <c r="B90" s="2" t="s">
        <v>5</v>
      </c>
      <c r="C90" s="7">
        <v>13386.59</v>
      </c>
      <c r="D90" s="4">
        <f>Table14[[#This Row],[Equity]]/$F$97</f>
        <v>0.20841751040951784</v>
      </c>
      <c r="E90" t="s">
        <v>6</v>
      </c>
      <c r="F90" s="7">
        <f>Table14[[#This Row],[Value]]</f>
        <v>13386.59</v>
      </c>
    </row>
    <row r="91" spans="1:6" x14ac:dyDescent="0.35">
      <c r="A91" s="5">
        <v>44895</v>
      </c>
      <c r="B91" s="2" t="s">
        <v>7</v>
      </c>
      <c r="C91" s="7">
        <v>2021.25</v>
      </c>
      <c r="D91" s="4">
        <f>Table14[[#This Row],[Equity]]/$F$97</f>
        <v>3.1469096529828579E-2</v>
      </c>
      <c r="E91" t="s">
        <v>6</v>
      </c>
      <c r="F91" s="7">
        <f>Table14[[#This Row],[Value]]</f>
        <v>2021.25</v>
      </c>
    </row>
    <row r="92" spans="1:6" s="1" customFormat="1" x14ac:dyDescent="0.35">
      <c r="A92" s="5">
        <v>44895</v>
      </c>
      <c r="B92" s="2" t="s">
        <v>8</v>
      </c>
      <c r="C92" s="7">
        <v>27074.84</v>
      </c>
      <c r="D92" s="4">
        <f>Table14[[#This Row],[Equity]]/$F$97</f>
        <v>0.42153160345808977</v>
      </c>
      <c r="E92" t="s">
        <v>6</v>
      </c>
      <c r="F92" s="7">
        <f>Table14[[#This Row],[Value]]</f>
        <v>27074.84</v>
      </c>
    </row>
    <row r="93" spans="1:6" x14ac:dyDescent="0.35">
      <c r="A93" s="5">
        <v>44895</v>
      </c>
      <c r="B93" s="2" t="s">
        <v>9</v>
      </c>
      <c r="C93" s="7">
        <v>-25598.639999999999</v>
      </c>
      <c r="D93" s="22">
        <v>1</v>
      </c>
      <c r="E93" t="s">
        <v>10</v>
      </c>
      <c r="F93" s="7">
        <v>0</v>
      </c>
    </row>
    <row r="94" spans="1:6" x14ac:dyDescent="0.35">
      <c r="A94" s="5">
        <v>44895</v>
      </c>
      <c r="B94" s="2" t="s">
        <v>11</v>
      </c>
      <c r="C94" s="7">
        <v>21747</v>
      </c>
      <c r="D94" s="4">
        <f>Table14[[#This Row],[Equity]]/$F$97</f>
        <v>0.3385817896025638</v>
      </c>
      <c r="E94" t="s">
        <v>12</v>
      </c>
      <c r="F94" s="7">
        <f>Table14[[#This Row],[Value]]</f>
        <v>21747</v>
      </c>
    </row>
    <row r="95" spans="1:6" x14ac:dyDescent="0.35">
      <c r="A95" s="5">
        <v>44895</v>
      </c>
      <c r="B95" s="2" t="s">
        <v>13</v>
      </c>
      <c r="C95" s="7">
        <v>0</v>
      </c>
      <c r="D95" s="4">
        <f>Table14[[#This Row],[Equity]]/$F$97</f>
        <v>0</v>
      </c>
      <c r="E95" t="s">
        <v>12</v>
      </c>
      <c r="F95" s="7">
        <f>Table14[[#This Row],[Value]]</f>
        <v>0</v>
      </c>
    </row>
    <row r="96" spans="1:6" x14ac:dyDescent="0.35">
      <c r="A96" s="5">
        <v>44895</v>
      </c>
      <c r="B96" s="2" t="s">
        <v>14</v>
      </c>
      <c r="C96" s="7">
        <v>0</v>
      </c>
      <c r="D96" s="4">
        <f>Table14[[#This Row],[Equity]]/$F$97</f>
        <v>0</v>
      </c>
      <c r="E96" t="s">
        <v>6</v>
      </c>
      <c r="F96" s="7">
        <f>Table14[[#This Row],[Value]]</f>
        <v>0</v>
      </c>
    </row>
    <row r="97" spans="1:6" x14ac:dyDescent="0.35">
      <c r="A97" s="5">
        <v>44895</v>
      </c>
      <c r="B97" s="3" t="s">
        <v>15</v>
      </c>
      <c r="C97" s="8">
        <f>SUBTOTAL(109,C90:C96)</f>
        <v>38631.040000000001</v>
      </c>
      <c r="D97" s="6">
        <v>1</v>
      </c>
      <c r="E97" s="1" t="s">
        <v>10</v>
      </c>
      <c r="F97" s="8">
        <f>SUBTOTAL(109,F90:F96)</f>
        <v>64229.68</v>
      </c>
    </row>
    <row r="98" spans="1:6" x14ac:dyDescent="0.35">
      <c r="A98" s="5">
        <v>44926</v>
      </c>
      <c r="B98" s="2" t="s">
        <v>5</v>
      </c>
      <c r="C98" s="7">
        <v>12414.15</v>
      </c>
      <c r="D98" s="4">
        <f>Table14[[#This Row],[Equity]]/$F$105</f>
        <v>0.19184583162246854</v>
      </c>
      <c r="E98" t="s">
        <v>6</v>
      </c>
      <c r="F98" s="7">
        <f>Table14[[#This Row],[Value]]</f>
        <v>12414.15</v>
      </c>
    </row>
    <row r="99" spans="1:6" s="1" customFormat="1" x14ac:dyDescent="0.35">
      <c r="A99" s="5">
        <v>44926</v>
      </c>
      <c r="B99" s="2" t="s">
        <v>7</v>
      </c>
      <c r="C99" s="7">
        <v>1690.66</v>
      </c>
      <c r="D99" s="4">
        <f>Table14[[#This Row],[Equity]]/$F$105</f>
        <v>2.6127127003527643E-2</v>
      </c>
      <c r="E99" t="s">
        <v>6</v>
      </c>
      <c r="F99" s="7">
        <f>Table14[[#This Row],[Value]]</f>
        <v>1690.66</v>
      </c>
    </row>
    <row r="100" spans="1:6" x14ac:dyDescent="0.35">
      <c r="A100" s="5">
        <v>44926</v>
      </c>
      <c r="B100" s="2" t="s">
        <v>8</v>
      </c>
      <c r="C100" s="7">
        <v>27967.18</v>
      </c>
      <c r="D100" s="4">
        <f>Table14[[#This Row],[Equity]]/$F$105</f>
        <v>0.43219929719193578</v>
      </c>
      <c r="E100" t="s">
        <v>6</v>
      </c>
      <c r="F100" s="7">
        <f>Table14[[#This Row],[Value]]</f>
        <v>27967.18</v>
      </c>
    </row>
    <row r="101" spans="1:6" x14ac:dyDescent="0.35">
      <c r="A101" s="5">
        <v>44926</v>
      </c>
      <c r="B101" s="2" t="s">
        <v>9</v>
      </c>
      <c r="C101" s="7">
        <v>-25598.639999999999</v>
      </c>
      <c r="D101" s="22">
        <v>1</v>
      </c>
      <c r="E101" t="s">
        <v>10</v>
      </c>
      <c r="F101" s="7">
        <v>0</v>
      </c>
    </row>
    <row r="102" spans="1:6" x14ac:dyDescent="0.35">
      <c r="A102" s="5">
        <v>44926</v>
      </c>
      <c r="B102" s="2" t="s">
        <v>11</v>
      </c>
      <c r="C102" s="7">
        <v>22637</v>
      </c>
      <c r="D102" s="4">
        <f>Table14[[#This Row],[Equity]]/$F$105</f>
        <v>0.34982774418206808</v>
      </c>
      <c r="E102" t="s">
        <v>12</v>
      </c>
      <c r="F102" s="7">
        <f>Table14[[#This Row],[Value]]</f>
        <v>22637</v>
      </c>
    </row>
    <row r="103" spans="1:6" x14ac:dyDescent="0.35">
      <c r="A103" s="5">
        <v>44926</v>
      </c>
      <c r="B103" s="2" t="s">
        <v>13</v>
      </c>
      <c r="C103" s="7">
        <v>0</v>
      </c>
      <c r="D103" s="4">
        <f>Table14[[#This Row],[Equity]]/$F$105</f>
        <v>0</v>
      </c>
      <c r="E103" t="s">
        <v>12</v>
      </c>
      <c r="F103" s="7">
        <f>Table14[[#This Row],[Value]]</f>
        <v>0</v>
      </c>
    </row>
    <row r="104" spans="1:6" x14ac:dyDescent="0.35">
      <c r="A104" s="5">
        <v>44926</v>
      </c>
      <c r="B104" s="2" t="s">
        <v>14</v>
      </c>
      <c r="C104" s="7">
        <v>0</v>
      </c>
      <c r="D104" s="4">
        <f>Table14[[#This Row],[Equity]]/$F$105</f>
        <v>0</v>
      </c>
      <c r="E104" t="s">
        <v>6</v>
      </c>
      <c r="F104" s="7">
        <f>Table14[[#This Row],[Value]]</f>
        <v>0</v>
      </c>
    </row>
    <row r="105" spans="1:6" x14ac:dyDescent="0.35">
      <c r="A105" s="5">
        <v>44926</v>
      </c>
      <c r="B105" s="3" t="s">
        <v>15</v>
      </c>
      <c r="C105" s="8">
        <f>SUBTOTAL(109,C98:C104)</f>
        <v>39110.35</v>
      </c>
      <c r="D105" s="6">
        <v>1</v>
      </c>
      <c r="E105" s="1" t="s">
        <v>10</v>
      </c>
      <c r="F105" s="8">
        <f>SUBTOTAL(109,F98:F104)</f>
        <v>64708.99</v>
      </c>
    </row>
    <row r="106" spans="1:6" s="1" customFormat="1" x14ac:dyDescent="0.35">
      <c r="A106" s="5">
        <v>44957</v>
      </c>
      <c r="B106" s="2" t="s">
        <v>5</v>
      </c>
      <c r="C106" s="7">
        <v>12423.19</v>
      </c>
      <c r="D106" s="4">
        <f>Table14[[#This Row],[Equity]]/$F$113</f>
        <v>0.18872541274982227</v>
      </c>
      <c r="E106" t="s">
        <v>6</v>
      </c>
      <c r="F106" s="7">
        <f>Table14[[#This Row],[Value]]</f>
        <v>12423.19</v>
      </c>
    </row>
    <row r="107" spans="1:6" x14ac:dyDescent="0.35">
      <c r="A107" s="5">
        <v>44957</v>
      </c>
      <c r="B107" s="2" t="s">
        <v>7</v>
      </c>
      <c r="C107" s="7">
        <v>2401.4899999999998</v>
      </c>
      <c r="D107" s="4">
        <f>Table14[[#This Row],[Equity]]/$F$113</f>
        <v>3.6481949601074329E-2</v>
      </c>
      <c r="E107" t="s">
        <v>6</v>
      </c>
      <c r="F107" s="7">
        <f>Table14[[#This Row],[Value]]</f>
        <v>2401.4899999999998</v>
      </c>
    </row>
    <row r="108" spans="1:6" x14ac:dyDescent="0.35">
      <c r="A108" s="5">
        <v>44957</v>
      </c>
      <c r="B108" s="2" t="s">
        <v>8</v>
      </c>
      <c r="C108" s="7">
        <v>28365.120000000003</v>
      </c>
      <c r="D108" s="4">
        <f>Table14[[#This Row],[Equity]]/$F$113</f>
        <v>0.43090534554315268</v>
      </c>
      <c r="E108" t="s">
        <v>6</v>
      </c>
      <c r="F108" s="7">
        <f>Table14[[#This Row],[Value]]</f>
        <v>28365.120000000003</v>
      </c>
    </row>
    <row r="109" spans="1:6" x14ac:dyDescent="0.35">
      <c r="A109" s="5">
        <v>44957</v>
      </c>
      <c r="B109" s="2" t="s">
        <v>9</v>
      </c>
      <c r="C109" s="7">
        <v>-25598.639999999999</v>
      </c>
      <c r="D109" s="22">
        <v>1</v>
      </c>
      <c r="E109" t="s">
        <v>10</v>
      </c>
      <c r="F109" s="7">
        <v>0</v>
      </c>
    </row>
    <row r="110" spans="1:6" x14ac:dyDescent="0.35">
      <c r="A110" s="5">
        <v>44957</v>
      </c>
      <c r="B110" s="2" t="s">
        <v>11</v>
      </c>
      <c r="C110" s="7">
        <v>22637</v>
      </c>
      <c r="D110" s="4">
        <f>Table14[[#This Row],[Equity]]/$F$113</f>
        <v>0.34388729210595076</v>
      </c>
      <c r="E110" t="s">
        <v>12</v>
      </c>
      <c r="F110" s="7">
        <f>Table14[[#This Row],[Value]]</f>
        <v>22637</v>
      </c>
    </row>
    <row r="111" spans="1:6" x14ac:dyDescent="0.35">
      <c r="A111" s="5">
        <v>44957</v>
      </c>
      <c r="B111" s="2" t="s">
        <v>13</v>
      </c>
      <c r="C111" s="7">
        <v>0</v>
      </c>
      <c r="D111" s="4">
        <f>Table14[[#This Row],[Equity]]/$F$113</f>
        <v>0</v>
      </c>
      <c r="E111" t="s">
        <v>12</v>
      </c>
      <c r="F111" s="7">
        <f>Table14[[#This Row],[Value]]</f>
        <v>0</v>
      </c>
    </row>
    <row r="112" spans="1:6" x14ac:dyDescent="0.35">
      <c r="A112" s="5">
        <v>44957</v>
      </c>
      <c r="B112" s="2" t="s">
        <v>14</v>
      </c>
      <c r="C112" s="7">
        <v>0</v>
      </c>
      <c r="D112" s="4">
        <f>Table14[[#This Row],[Equity]]/$F$113</f>
        <v>0</v>
      </c>
      <c r="E112" t="s">
        <v>6</v>
      </c>
      <c r="F112" s="7">
        <f>Table14[[#This Row],[Value]]</f>
        <v>0</v>
      </c>
    </row>
    <row r="113" spans="1:6" s="1" customFormat="1" x14ac:dyDescent="0.35">
      <c r="A113" s="5">
        <v>44957</v>
      </c>
      <c r="B113" s="3" t="s">
        <v>15</v>
      </c>
      <c r="C113" s="8">
        <f>SUBTOTAL(109,C106:C112)</f>
        <v>40228.160000000003</v>
      </c>
      <c r="D113" s="6">
        <v>1</v>
      </c>
      <c r="E113" s="1" t="s">
        <v>10</v>
      </c>
      <c r="F113" s="8">
        <f>SUBTOTAL(109,F106:F112)</f>
        <v>65826.8</v>
      </c>
    </row>
    <row r="114" spans="1:6" x14ac:dyDescent="0.35">
      <c r="A114" s="5">
        <v>44985</v>
      </c>
      <c r="B114" s="2" t="s">
        <v>5</v>
      </c>
      <c r="C114" s="7">
        <v>12785.51</v>
      </c>
      <c r="D114" s="4">
        <f>Table14[[#This Row],[Equity]]/$F$121</f>
        <v>0.19087773112594619</v>
      </c>
      <c r="E114" t="s">
        <v>6</v>
      </c>
      <c r="F114" s="7">
        <f>Table14[[#This Row],[Value]]</f>
        <v>12785.51</v>
      </c>
    </row>
    <row r="115" spans="1:6" x14ac:dyDescent="0.35">
      <c r="A115" s="5">
        <v>44985</v>
      </c>
      <c r="B115" s="2" t="s">
        <v>7</v>
      </c>
      <c r="C115" s="7">
        <v>3132.79</v>
      </c>
      <c r="D115" s="4">
        <f>Table14[[#This Row],[Equity]]/$F$121</f>
        <v>4.6770120808169009E-2</v>
      </c>
      <c r="E115" t="s">
        <v>6</v>
      </c>
      <c r="F115" s="7">
        <f>Table14[[#This Row],[Value]]</f>
        <v>3132.79</v>
      </c>
    </row>
    <row r="116" spans="1:6" x14ac:dyDescent="0.35">
      <c r="A116" s="5">
        <v>44985</v>
      </c>
      <c r="B116" s="2" t="s">
        <v>8</v>
      </c>
      <c r="C116" s="7">
        <v>28427.421999999999</v>
      </c>
      <c r="D116" s="4">
        <f>Table14[[#This Row],[Equity]]/$F$121</f>
        <v>0.42439932494830535</v>
      </c>
      <c r="E116" t="s">
        <v>6</v>
      </c>
      <c r="F116" s="7">
        <f>Table14[[#This Row],[Value]]</f>
        <v>28427.421999999999</v>
      </c>
    </row>
    <row r="117" spans="1:6" x14ac:dyDescent="0.35">
      <c r="A117" s="5">
        <v>44985</v>
      </c>
      <c r="B117" s="2" t="s">
        <v>9</v>
      </c>
      <c r="C117" s="7">
        <v>-25598.639999999999</v>
      </c>
      <c r="D117" s="22">
        <v>1</v>
      </c>
      <c r="E117" t="s">
        <v>10</v>
      </c>
      <c r="F117" s="7">
        <v>0</v>
      </c>
    </row>
    <row r="118" spans="1:6" x14ac:dyDescent="0.35">
      <c r="A118" s="5">
        <v>44985</v>
      </c>
      <c r="B118" s="2" t="s">
        <v>11</v>
      </c>
      <c r="C118" s="7">
        <v>22637</v>
      </c>
      <c r="D118" s="4">
        <f>Table14[[#This Row],[Equity]]/$F$121</f>
        <v>0.33795282311757951</v>
      </c>
      <c r="E118" t="s">
        <v>12</v>
      </c>
      <c r="F118" s="7">
        <f>Table14[[#This Row],[Value]]</f>
        <v>22637</v>
      </c>
    </row>
    <row r="119" spans="1:6" x14ac:dyDescent="0.35">
      <c r="A119" s="5">
        <v>44985</v>
      </c>
      <c r="B119" s="2" t="s">
        <v>13</v>
      </c>
      <c r="C119" s="7">
        <v>0</v>
      </c>
      <c r="D119" s="4">
        <f>Table14[[#This Row],[Equity]]/$F$121</f>
        <v>0</v>
      </c>
      <c r="E119" t="s">
        <v>12</v>
      </c>
      <c r="F119" s="7">
        <f>Table14[[#This Row],[Value]]</f>
        <v>0</v>
      </c>
    </row>
    <row r="120" spans="1:6" s="1" customFormat="1" x14ac:dyDescent="0.35">
      <c r="A120" s="5">
        <v>44985</v>
      </c>
      <c r="B120" s="2" t="s">
        <v>14</v>
      </c>
      <c r="C120" s="7">
        <v>0</v>
      </c>
      <c r="D120" s="4">
        <f>Table14[[#This Row],[Equity]]/$F$121</f>
        <v>0</v>
      </c>
      <c r="E120" t="s">
        <v>6</v>
      </c>
      <c r="F120" s="7">
        <f>Table14[[#This Row],[Value]]</f>
        <v>0</v>
      </c>
    </row>
    <row r="121" spans="1:6" x14ac:dyDescent="0.35">
      <c r="A121" s="5">
        <v>44985</v>
      </c>
      <c r="B121" s="3" t="s">
        <v>15</v>
      </c>
      <c r="C121" s="8">
        <f>SUBTOTAL(109,C114:C120)</f>
        <v>41384.081999999995</v>
      </c>
      <c r="D121" s="6">
        <v>1</v>
      </c>
      <c r="E121" s="1" t="s">
        <v>10</v>
      </c>
      <c r="F121" s="8">
        <f>SUBTOTAL(109,F114:F120)</f>
        <v>66982.721999999994</v>
      </c>
    </row>
    <row r="122" spans="1:6" x14ac:dyDescent="0.35">
      <c r="A122" s="5">
        <v>45016</v>
      </c>
      <c r="B122" s="2" t="s">
        <v>5</v>
      </c>
      <c r="C122" s="7">
        <v>10931.38</v>
      </c>
      <c r="D122" s="4">
        <f>Table14[[#This Row],[Equity]]/$F$129</f>
        <v>0.16100972314095174</v>
      </c>
      <c r="E122" t="s">
        <v>6</v>
      </c>
      <c r="F122" s="7">
        <f>Table14[[#This Row],[Value]]</f>
        <v>10931.38</v>
      </c>
    </row>
    <row r="123" spans="1:6" x14ac:dyDescent="0.35">
      <c r="A123" s="5">
        <v>45016</v>
      </c>
      <c r="B123" s="2" t="s">
        <v>7</v>
      </c>
      <c r="C123" s="7">
        <v>3425.03</v>
      </c>
      <c r="D123" s="4">
        <f>Table14[[#This Row],[Equity]]/$F$129</f>
        <v>5.044771401684453E-2</v>
      </c>
      <c r="E123" t="s">
        <v>6</v>
      </c>
      <c r="F123" s="7">
        <f>Table14[[#This Row],[Value]]</f>
        <v>3425.03</v>
      </c>
    </row>
    <row r="124" spans="1:6" x14ac:dyDescent="0.35">
      <c r="A124" s="5">
        <v>45016</v>
      </c>
      <c r="B124" s="2" t="s">
        <v>8</v>
      </c>
      <c r="C124" s="7">
        <v>28521.259999999995</v>
      </c>
      <c r="D124" s="4">
        <f>Table14[[#This Row],[Equity]]/$F$129</f>
        <v>0.42009336206692116</v>
      </c>
      <c r="E124" t="s">
        <v>6</v>
      </c>
      <c r="F124" s="7">
        <f>Table14[[#This Row],[Value]]</f>
        <v>28521.259999999995</v>
      </c>
    </row>
    <row r="125" spans="1:6" x14ac:dyDescent="0.35">
      <c r="A125" s="5">
        <v>45016</v>
      </c>
      <c r="B125" s="2" t="s">
        <v>9</v>
      </c>
      <c r="C125" s="7">
        <v>-25598.639999999999</v>
      </c>
      <c r="D125" s="22">
        <v>1</v>
      </c>
      <c r="E125" t="s">
        <v>10</v>
      </c>
      <c r="F125" s="7">
        <v>0</v>
      </c>
    </row>
    <row r="126" spans="1:6" x14ac:dyDescent="0.35">
      <c r="A126" s="5">
        <v>45016</v>
      </c>
      <c r="B126" s="2" t="s">
        <v>11</v>
      </c>
      <c r="C126" s="7">
        <v>25015</v>
      </c>
      <c r="D126" s="4">
        <f>Table14[[#This Row],[Equity]]/$F$129</f>
        <v>0.36844920077528254</v>
      </c>
      <c r="E126" t="s">
        <v>12</v>
      </c>
      <c r="F126" s="7">
        <f>Table14[[#This Row],[Value]]</f>
        <v>25015</v>
      </c>
    </row>
    <row r="127" spans="1:6" s="1" customFormat="1" x14ac:dyDescent="0.35">
      <c r="A127" s="5">
        <v>45016</v>
      </c>
      <c r="B127" s="2" t="s">
        <v>13</v>
      </c>
      <c r="C127" s="7">
        <v>0</v>
      </c>
      <c r="D127" s="4">
        <f>Table14[[#This Row],[Equity]]/$F$129</f>
        <v>0</v>
      </c>
      <c r="E127" t="s">
        <v>12</v>
      </c>
      <c r="F127" s="7">
        <f>Table14[[#This Row],[Value]]</f>
        <v>0</v>
      </c>
    </row>
    <row r="128" spans="1:6" x14ac:dyDescent="0.35">
      <c r="A128" s="5">
        <v>45016</v>
      </c>
      <c r="B128" s="2" t="s">
        <v>14</v>
      </c>
      <c r="C128" s="7">
        <v>0</v>
      </c>
      <c r="D128" s="4">
        <f>Table14[[#This Row],[Equity]]/$F$129</f>
        <v>0</v>
      </c>
      <c r="E128" t="s">
        <v>6</v>
      </c>
      <c r="F128" s="7">
        <f>Table14[[#This Row],[Value]]</f>
        <v>0</v>
      </c>
    </row>
    <row r="129" spans="1:6" x14ac:dyDescent="0.35">
      <c r="A129" s="5">
        <v>45016</v>
      </c>
      <c r="B129" s="3" t="s">
        <v>15</v>
      </c>
      <c r="C129" s="8">
        <f>SUBTOTAL(109,C122:C128)</f>
        <v>42294.03</v>
      </c>
      <c r="D129" s="6">
        <v>1</v>
      </c>
      <c r="E129" s="1" t="s">
        <v>10</v>
      </c>
      <c r="F129" s="8">
        <f>SUBTOTAL(109,F122:F128)</f>
        <v>67892.67</v>
      </c>
    </row>
    <row r="130" spans="1:6" x14ac:dyDescent="0.35">
      <c r="A130" s="5">
        <v>45046</v>
      </c>
      <c r="B130" s="2" t="s">
        <v>5</v>
      </c>
      <c r="C130" s="7">
        <v>10905.24</v>
      </c>
      <c r="D130" s="4">
        <f>Table14[[#This Row],[Equity]]/$F$137</f>
        <v>0.16024293499231937</v>
      </c>
      <c r="E130" t="s">
        <v>6</v>
      </c>
      <c r="F130" s="7">
        <f>Table14[[#This Row],[Value]]</f>
        <v>10905.24</v>
      </c>
    </row>
    <row r="131" spans="1:6" x14ac:dyDescent="0.35">
      <c r="A131" s="5">
        <v>45046</v>
      </c>
      <c r="B131" s="2" t="s">
        <v>7</v>
      </c>
      <c r="C131" s="7">
        <v>3400.28</v>
      </c>
      <c r="D131" s="4">
        <f>Table14[[#This Row],[Equity]]/$F$137</f>
        <v>4.9964131646408866E-2</v>
      </c>
      <c r="E131" t="s">
        <v>6</v>
      </c>
      <c r="F131" s="7">
        <f>Table14[[#This Row],[Value]]</f>
        <v>3400.28</v>
      </c>
    </row>
    <row r="132" spans="1:6" x14ac:dyDescent="0.35">
      <c r="A132" s="5">
        <v>45046</v>
      </c>
      <c r="B132" s="2" t="s">
        <v>8</v>
      </c>
      <c r="C132" s="7">
        <v>28733.899999999998</v>
      </c>
      <c r="D132" s="4">
        <f>Table14[[#This Row],[Equity]]/$F$137</f>
        <v>0.42221945319642717</v>
      </c>
      <c r="E132" t="s">
        <v>6</v>
      </c>
      <c r="F132" s="7">
        <f>Table14[[#This Row],[Value]]</f>
        <v>28733.899999999998</v>
      </c>
    </row>
    <row r="133" spans="1:6" x14ac:dyDescent="0.35">
      <c r="A133" s="5">
        <v>45046</v>
      </c>
      <c r="B133" s="2" t="s">
        <v>9</v>
      </c>
      <c r="C133" s="7">
        <v>-25598.639999999999</v>
      </c>
      <c r="D133" s="22">
        <v>1</v>
      </c>
      <c r="E133" t="s">
        <v>10</v>
      </c>
      <c r="F133" s="7">
        <v>0</v>
      </c>
    </row>
    <row r="134" spans="1:6" s="1" customFormat="1" x14ac:dyDescent="0.35">
      <c r="A134" s="5">
        <v>45046</v>
      </c>
      <c r="B134" s="2" t="s">
        <v>11</v>
      </c>
      <c r="C134" s="7">
        <v>25015</v>
      </c>
      <c r="D134" s="4">
        <f>Table14[[#This Row],[Equity]]/$F$137</f>
        <v>0.36757348016484453</v>
      </c>
      <c r="E134" t="s">
        <v>12</v>
      </c>
      <c r="F134" s="7">
        <f>Table14[[#This Row],[Value]]</f>
        <v>25015</v>
      </c>
    </row>
    <row r="135" spans="1:6" x14ac:dyDescent="0.35">
      <c r="A135" s="5">
        <v>45046</v>
      </c>
      <c r="B135" s="2" t="s">
        <v>13</v>
      </c>
      <c r="C135" s="7">
        <v>0</v>
      </c>
      <c r="D135" s="4">
        <f>Table14[[#This Row],[Equity]]/$F$137</f>
        <v>0</v>
      </c>
      <c r="E135" t="s">
        <v>12</v>
      </c>
      <c r="F135" s="7">
        <f>Table14[[#This Row],[Value]]</f>
        <v>0</v>
      </c>
    </row>
    <row r="136" spans="1:6" x14ac:dyDescent="0.35">
      <c r="A136" s="5">
        <v>45046</v>
      </c>
      <c r="B136" s="2" t="s">
        <v>14</v>
      </c>
      <c r="C136" s="7">
        <v>0</v>
      </c>
      <c r="D136" s="4">
        <f>Table14[[#This Row],[Equity]]/$F$137</f>
        <v>0</v>
      </c>
      <c r="E136" t="s">
        <v>6</v>
      </c>
      <c r="F136" s="7">
        <f>Table14[[#This Row],[Value]]</f>
        <v>0</v>
      </c>
    </row>
    <row r="137" spans="1:6" x14ac:dyDescent="0.35">
      <c r="A137" s="5">
        <v>45046</v>
      </c>
      <c r="B137" s="3" t="s">
        <v>15</v>
      </c>
      <c r="C137" s="8">
        <f>SUBTOTAL(109,C130:C136)</f>
        <v>42455.78</v>
      </c>
      <c r="D137" s="6">
        <v>1</v>
      </c>
      <c r="E137" s="1" t="s">
        <v>10</v>
      </c>
      <c r="F137" s="8">
        <f>SUBTOTAL(109,F130:F136)</f>
        <v>68054.42</v>
      </c>
    </row>
    <row r="138" spans="1:6" x14ac:dyDescent="0.35">
      <c r="A138" s="5">
        <v>45077</v>
      </c>
      <c r="B138" s="2" t="s">
        <v>5</v>
      </c>
      <c r="C138" s="7">
        <v>11138.15</v>
      </c>
      <c r="D138" s="4">
        <f>Table14[[#This Row],[Equity]]/$F$145</f>
        <v>0.16322812163716569</v>
      </c>
      <c r="E138" t="s">
        <v>6</v>
      </c>
      <c r="F138" s="7">
        <f>Table14[[#This Row],[Value]]</f>
        <v>11138.15</v>
      </c>
    </row>
    <row r="139" spans="1:6" x14ac:dyDescent="0.35">
      <c r="A139" s="5">
        <v>45077</v>
      </c>
      <c r="B139" s="2" t="s">
        <v>7</v>
      </c>
      <c r="C139" s="7">
        <v>3298.25</v>
      </c>
      <c r="D139" s="4">
        <f>Table14[[#This Row],[Equity]]/$F$145</f>
        <v>4.8335419453839443E-2</v>
      </c>
      <c r="E139" t="s">
        <v>6</v>
      </c>
      <c r="F139" s="7">
        <f>Table14[[#This Row],[Value]]</f>
        <v>3298.25</v>
      </c>
    </row>
    <row r="140" spans="1:6" x14ac:dyDescent="0.35">
      <c r="A140" s="5">
        <v>45077</v>
      </c>
      <c r="B140" s="2" t="s">
        <v>8</v>
      </c>
      <c r="C140" s="7">
        <v>28785.309999999998</v>
      </c>
      <c r="D140" s="4">
        <f>Table14[[#This Row],[Equity]]/$F$145</f>
        <v>0.42184492775223192</v>
      </c>
      <c r="E140" t="s">
        <v>6</v>
      </c>
      <c r="F140" s="7">
        <f>Table14[[#This Row],[Value]]</f>
        <v>28785.309999999998</v>
      </c>
    </row>
    <row r="141" spans="1:6" s="1" customFormat="1" x14ac:dyDescent="0.35">
      <c r="A141" s="5">
        <v>45077</v>
      </c>
      <c r="B141" s="2" t="s">
        <v>9</v>
      </c>
      <c r="C141" s="7">
        <v>-25598.639999999999</v>
      </c>
      <c r="D141" s="22">
        <v>1</v>
      </c>
      <c r="E141" t="s">
        <v>10</v>
      </c>
      <c r="F141" s="7">
        <v>0</v>
      </c>
    </row>
    <row r="142" spans="1:6" x14ac:dyDescent="0.35">
      <c r="A142" s="5">
        <v>45077</v>
      </c>
      <c r="B142" s="2" t="s">
        <v>11</v>
      </c>
      <c r="C142" s="7">
        <v>25015</v>
      </c>
      <c r="D142" s="4">
        <f>Table14[[#This Row],[Equity]]/$F$145</f>
        <v>0.36659153115676302</v>
      </c>
      <c r="E142" t="s">
        <v>12</v>
      </c>
      <c r="F142" s="7">
        <f>Table14[[#This Row],[Value]]</f>
        <v>25015</v>
      </c>
    </row>
    <row r="143" spans="1:6" x14ac:dyDescent="0.35">
      <c r="A143" s="5">
        <v>45077</v>
      </c>
      <c r="B143" s="2" t="s">
        <v>13</v>
      </c>
      <c r="C143" s="7">
        <v>0</v>
      </c>
      <c r="D143" s="4">
        <f>Table14[[#This Row],[Equity]]/$F$145</f>
        <v>0</v>
      </c>
      <c r="E143" t="s">
        <v>12</v>
      </c>
      <c r="F143" s="7">
        <f>Table14[[#This Row],[Value]]</f>
        <v>0</v>
      </c>
    </row>
    <row r="144" spans="1:6" x14ac:dyDescent="0.35">
      <c r="A144" s="5">
        <v>45077</v>
      </c>
      <c r="B144" s="2" t="s">
        <v>14</v>
      </c>
      <c r="C144" s="7">
        <v>0</v>
      </c>
      <c r="D144" s="4">
        <f>Table14[[#This Row],[Equity]]/$F$145</f>
        <v>0</v>
      </c>
      <c r="E144" t="s">
        <v>6</v>
      </c>
      <c r="F144" s="7">
        <f>Table14[[#This Row],[Value]]</f>
        <v>0</v>
      </c>
    </row>
    <row r="145" spans="1:6" x14ac:dyDescent="0.35">
      <c r="A145" s="5">
        <v>45077</v>
      </c>
      <c r="B145" s="3" t="s">
        <v>15</v>
      </c>
      <c r="C145" s="8">
        <f>SUBTOTAL(109,C138:C144)</f>
        <v>42638.07</v>
      </c>
      <c r="D145" s="6">
        <v>1</v>
      </c>
      <c r="E145" s="1" t="s">
        <v>10</v>
      </c>
      <c r="F145" s="8">
        <f>SUBTOTAL(109,F138:F144)</f>
        <v>68236.709999999992</v>
      </c>
    </row>
    <row r="146" spans="1:6" x14ac:dyDescent="0.35">
      <c r="A146" s="5">
        <v>45107</v>
      </c>
      <c r="B146" s="2" t="s">
        <v>5</v>
      </c>
      <c r="C146" s="7">
        <v>11724.960000000001</v>
      </c>
      <c r="D146" s="4">
        <f>Table14[[#This Row],[Equity]]/$F$153</f>
        <v>0.17018460120930903</v>
      </c>
      <c r="E146" t="s">
        <v>6</v>
      </c>
      <c r="F146" s="7">
        <f>Table14[[#This Row],[Value]]</f>
        <v>11724.960000000001</v>
      </c>
    </row>
    <row r="147" spans="1:6" x14ac:dyDescent="0.35">
      <c r="A147" s="5">
        <v>45107</v>
      </c>
      <c r="B147" s="2" t="s">
        <v>7</v>
      </c>
      <c r="C147" s="7">
        <v>2339.75</v>
      </c>
      <c r="D147" s="4">
        <f>Table14[[#This Row],[Equity]]/$F$153</f>
        <v>3.3960834039474828E-2</v>
      </c>
      <c r="E147" t="s">
        <v>6</v>
      </c>
      <c r="F147" s="7">
        <f>Table14[[#This Row],[Value]]</f>
        <v>2339.75</v>
      </c>
    </row>
    <row r="148" spans="1:6" s="1" customFormat="1" x14ac:dyDescent="0.35">
      <c r="A148" s="5">
        <v>45107</v>
      </c>
      <c r="B148" s="2" t="s">
        <v>8</v>
      </c>
      <c r="C148" s="7">
        <v>29661.83</v>
      </c>
      <c r="D148" s="4">
        <f>Table14[[#This Row],[Equity]]/$F$153</f>
        <v>0.43053338430905685</v>
      </c>
      <c r="E148" t="s">
        <v>6</v>
      </c>
      <c r="F148" s="7">
        <f>Table14[[#This Row],[Value]]</f>
        <v>29661.83</v>
      </c>
    </row>
    <row r="149" spans="1:6" x14ac:dyDescent="0.35">
      <c r="A149" s="5">
        <v>45107</v>
      </c>
      <c r="B149" s="2" t="s">
        <v>9</v>
      </c>
      <c r="C149" s="7">
        <v>-25598.639999999999</v>
      </c>
      <c r="D149" s="22">
        <v>1</v>
      </c>
      <c r="E149" t="s">
        <v>10</v>
      </c>
      <c r="F149" s="7">
        <v>0</v>
      </c>
    </row>
    <row r="150" spans="1:6" x14ac:dyDescent="0.35">
      <c r="A150" s="5">
        <v>45107</v>
      </c>
      <c r="B150" s="2" t="s">
        <v>11</v>
      </c>
      <c r="C150" s="7">
        <v>25169</v>
      </c>
      <c r="D150" s="4">
        <f>Table14[[#This Row],[Equity]]/$F$153</f>
        <v>0.36532118044215922</v>
      </c>
      <c r="E150" t="s">
        <v>12</v>
      </c>
      <c r="F150" s="7">
        <f>Table14[[#This Row],[Value]]</f>
        <v>25169</v>
      </c>
    </row>
    <row r="151" spans="1:6" x14ac:dyDescent="0.35">
      <c r="A151" s="5">
        <v>45107</v>
      </c>
      <c r="B151" s="2" t="s">
        <v>13</v>
      </c>
      <c r="C151" s="7">
        <v>0</v>
      </c>
      <c r="D151" s="4">
        <f>Table14[[#This Row],[Equity]]/$F$153</f>
        <v>0</v>
      </c>
      <c r="E151" t="s">
        <v>12</v>
      </c>
      <c r="F151" s="7">
        <f>Table14[[#This Row],[Value]]</f>
        <v>0</v>
      </c>
    </row>
    <row r="152" spans="1:6" x14ac:dyDescent="0.35">
      <c r="A152" s="5">
        <v>45107</v>
      </c>
      <c r="B152" s="2" t="s">
        <v>14</v>
      </c>
      <c r="C152" s="7">
        <v>0</v>
      </c>
      <c r="D152" s="4">
        <f>Table14[[#This Row],[Equity]]/$F$153</f>
        <v>0</v>
      </c>
      <c r="E152" t="s">
        <v>6</v>
      </c>
      <c r="F152" s="7">
        <f>Table14[[#This Row],[Value]]</f>
        <v>0</v>
      </c>
    </row>
    <row r="153" spans="1:6" x14ac:dyDescent="0.35">
      <c r="A153" s="5">
        <v>45107</v>
      </c>
      <c r="B153" s="3" t="s">
        <v>15</v>
      </c>
      <c r="C153" s="8">
        <f>SUBTOTAL(109,C146:C152)</f>
        <v>43296.9</v>
      </c>
      <c r="D153" s="6">
        <v>1</v>
      </c>
      <c r="E153" s="1" t="s">
        <v>10</v>
      </c>
      <c r="F153" s="8">
        <f>SUBTOTAL(109,F146:F152)</f>
        <v>68895.540000000008</v>
      </c>
    </row>
    <row r="154" spans="1:6" x14ac:dyDescent="0.35">
      <c r="A154" s="5">
        <v>45138</v>
      </c>
      <c r="B154" s="2" t="s">
        <v>5</v>
      </c>
      <c r="C154" s="7">
        <v>11735.97</v>
      </c>
      <c r="D154" s="4">
        <f>Table14[[#This Row],[Equity]]/$F$161</f>
        <v>0.16890069201104591</v>
      </c>
      <c r="E154" t="s">
        <v>6</v>
      </c>
      <c r="F154" s="7">
        <f>Table14[[#This Row],[Value]]</f>
        <v>11735.97</v>
      </c>
    </row>
    <row r="155" spans="1:6" s="1" customFormat="1" x14ac:dyDescent="0.35">
      <c r="A155" s="5">
        <v>45138</v>
      </c>
      <c r="B155" s="2" t="s">
        <v>7</v>
      </c>
      <c r="C155" s="7">
        <v>2258.7399999999998</v>
      </c>
      <c r="D155" s="4">
        <f>Table14[[#This Row],[Equity]]/$F$161</f>
        <v>3.2507133971289105E-2</v>
      </c>
      <c r="E155" t="s">
        <v>6</v>
      </c>
      <c r="F155" s="7">
        <f>Table14[[#This Row],[Value]]</f>
        <v>2258.7399999999998</v>
      </c>
    </row>
    <row r="156" spans="1:6" x14ac:dyDescent="0.35">
      <c r="A156" s="5">
        <v>45138</v>
      </c>
      <c r="B156" s="2" t="s">
        <v>8</v>
      </c>
      <c r="C156" s="7">
        <v>30320.73</v>
      </c>
      <c r="D156" s="4">
        <f>Table14[[#This Row],[Equity]]/$F$161</f>
        <v>0.43636719242466371</v>
      </c>
      <c r="E156" t="s">
        <v>6</v>
      </c>
      <c r="F156" s="7">
        <f>Table14[[#This Row],[Value]]</f>
        <v>30320.73</v>
      </c>
    </row>
    <row r="157" spans="1:6" x14ac:dyDescent="0.35">
      <c r="A157" s="5">
        <v>45138</v>
      </c>
      <c r="B157" s="2" t="s">
        <v>9</v>
      </c>
      <c r="C157" s="7">
        <v>-25598.639999999999</v>
      </c>
      <c r="D157" s="22">
        <v>1</v>
      </c>
      <c r="E157" t="s">
        <v>10</v>
      </c>
      <c r="F157" s="7">
        <v>0</v>
      </c>
    </row>
    <row r="158" spans="1:6" x14ac:dyDescent="0.35">
      <c r="A158" s="5">
        <v>45138</v>
      </c>
      <c r="B158" s="2" t="s">
        <v>11</v>
      </c>
      <c r="C158" s="7">
        <v>25169</v>
      </c>
      <c r="D158" s="4">
        <f>Table14[[#This Row],[Equity]]/$F$161</f>
        <v>0.36222498159300126</v>
      </c>
      <c r="E158" t="s">
        <v>12</v>
      </c>
      <c r="F158" s="7">
        <f>Table14[[#This Row],[Value]]</f>
        <v>25169</v>
      </c>
    </row>
    <row r="159" spans="1:6" x14ac:dyDescent="0.35">
      <c r="A159" s="5">
        <v>45138</v>
      </c>
      <c r="B159" s="2" t="s">
        <v>13</v>
      </c>
      <c r="C159" s="7">
        <v>0</v>
      </c>
      <c r="D159" s="4">
        <f>Table14[[#This Row],[Equity]]/$F$161</f>
        <v>0</v>
      </c>
      <c r="E159" t="s">
        <v>12</v>
      </c>
      <c r="F159" s="7">
        <f>Table14[[#This Row],[Value]]</f>
        <v>0</v>
      </c>
    </row>
    <row r="160" spans="1:6" x14ac:dyDescent="0.35">
      <c r="A160" s="5">
        <v>45138</v>
      </c>
      <c r="B160" s="2" t="s">
        <v>14</v>
      </c>
      <c r="C160" s="7">
        <v>0</v>
      </c>
      <c r="D160" s="4">
        <f>Table14[[#This Row],[Equity]]/$F$161</f>
        <v>0</v>
      </c>
      <c r="E160" t="s">
        <v>6</v>
      </c>
      <c r="F160" s="7">
        <f>Table14[[#This Row],[Value]]</f>
        <v>0</v>
      </c>
    </row>
    <row r="161" spans="1:6" x14ac:dyDescent="0.35">
      <c r="A161" s="5">
        <v>45138</v>
      </c>
      <c r="B161" s="3" t="s">
        <v>15</v>
      </c>
      <c r="C161" s="8">
        <f>SUBTOTAL(109,C154:C160)</f>
        <v>43885.8</v>
      </c>
      <c r="D161" s="6">
        <v>1</v>
      </c>
      <c r="E161" s="1" t="s">
        <v>10</v>
      </c>
      <c r="F161" s="8">
        <f>SUBTOTAL(109,F154:F160)</f>
        <v>69484.44</v>
      </c>
    </row>
    <row r="162" spans="1:6" s="1" customFormat="1" x14ac:dyDescent="0.35">
      <c r="A162" s="5">
        <v>45169</v>
      </c>
      <c r="B162" s="2" t="s">
        <v>5</v>
      </c>
      <c r="C162" s="7">
        <v>11631.84</v>
      </c>
      <c r="D162" s="4">
        <f>Table14[[#This Row],[Equity]]/$F$169</f>
        <v>0.16944951603812494</v>
      </c>
      <c r="E162" t="s">
        <v>6</v>
      </c>
      <c r="F162" s="7">
        <f>Table14[[#This Row],[Value]]</f>
        <v>11631.84</v>
      </c>
    </row>
    <row r="163" spans="1:6" x14ac:dyDescent="0.35">
      <c r="A163" s="5">
        <v>45169</v>
      </c>
      <c r="B163" s="2" t="s">
        <v>7</v>
      </c>
      <c r="C163" s="7">
        <v>1977.27</v>
      </c>
      <c r="D163" s="4">
        <f>Table14[[#This Row],[Equity]]/$F$169</f>
        <v>2.8804337454495874E-2</v>
      </c>
      <c r="E163" t="s">
        <v>6</v>
      </c>
      <c r="F163" s="7">
        <f>Table14[[#This Row],[Value]]</f>
        <v>1977.27</v>
      </c>
    </row>
    <row r="164" spans="1:6" x14ac:dyDescent="0.35">
      <c r="A164" s="5">
        <v>45169</v>
      </c>
      <c r="B164" s="2" t="s">
        <v>8</v>
      </c>
      <c r="C164" s="7">
        <v>29866.760000000002</v>
      </c>
      <c r="D164" s="4">
        <f>Table14[[#This Row],[Equity]]/$F$169</f>
        <v>0.43509092522136039</v>
      </c>
      <c r="E164" t="s">
        <v>6</v>
      </c>
      <c r="F164" s="7">
        <f>Table14[[#This Row],[Value]]</f>
        <v>29866.760000000002</v>
      </c>
    </row>
    <row r="165" spans="1:6" x14ac:dyDescent="0.35">
      <c r="A165" s="5">
        <v>45169</v>
      </c>
      <c r="B165" s="2" t="s">
        <v>9</v>
      </c>
      <c r="C165" s="7">
        <v>-25598.639999999999</v>
      </c>
      <c r="D165" s="22">
        <v>1</v>
      </c>
      <c r="E165" t="s">
        <v>10</v>
      </c>
      <c r="F165" s="7">
        <v>0</v>
      </c>
    </row>
    <row r="166" spans="1:6" x14ac:dyDescent="0.35">
      <c r="A166" s="5">
        <v>45169</v>
      </c>
      <c r="B166" s="2" t="s">
        <v>11</v>
      </c>
      <c r="C166" s="7">
        <v>25169</v>
      </c>
      <c r="D166" s="4">
        <f>Table14[[#This Row],[Equity]]/$F$169</f>
        <v>0.36665522128601891</v>
      </c>
      <c r="E166" t="s">
        <v>12</v>
      </c>
      <c r="F166" s="7">
        <f>Table14[[#This Row],[Value]]</f>
        <v>25169</v>
      </c>
    </row>
    <row r="167" spans="1:6" x14ac:dyDescent="0.35">
      <c r="A167" s="5">
        <v>45169</v>
      </c>
      <c r="B167" s="2" t="s">
        <v>13</v>
      </c>
      <c r="C167" s="7">
        <v>0</v>
      </c>
      <c r="D167" s="4">
        <f>Table14[[#This Row],[Equity]]/$F$169</f>
        <v>0</v>
      </c>
      <c r="E167" t="s">
        <v>12</v>
      </c>
      <c r="F167" s="7">
        <f>Table14[[#This Row],[Value]]</f>
        <v>0</v>
      </c>
    </row>
    <row r="168" spans="1:6" x14ac:dyDescent="0.35">
      <c r="A168" s="5">
        <v>45169</v>
      </c>
      <c r="B168" s="2" t="s">
        <v>14</v>
      </c>
      <c r="C168" s="7">
        <v>0</v>
      </c>
      <c r="D168" s="4">
        <f>Table14[[#This Row],[Equity]]/$F$169</f>
        <v>0</v>
      </c>
      <c r="E168" t="s">
        <v>6</v>
      </c>
      <c r="F168" s="7">
        <f>Table14[[#This Row],[Value]]</f>
        <v>0</v>
      </c>
    </row>
    <row r="169" spans="1:6" s="1" customFormat="1" x14ac:dyDescent="0.35">
      <c r="A169" s="5">
        <v>45169</v>
      </c>
      <c r="B169" s="3" t="s">
        <v>15</v>
      </c>
      <c r="C169" s="8">
        <f>SUBTOTAL(109,C162:C168)</f>
        <v>43046.23</v>
      </c>
      <c r="D169" s="6">
        <v>1</v>
      </c>
      <c r="E169" s="1" t="s">
        <v>10</v>
      </c>
      <c r="F169" s="8">
        <f>SUBTOTAL(109,F162:F168)</f>
        <v>68644.87</v>
      </c>
    </row>
    <row r="170" spans="1:6" x14ac:dyDescent="0.35">
      <c r="A170" s="5">
        <v>45199</v>
      </c>
      <c r="B170" s="2" t="s">
        <v>5</v>
      </c>
      <c r="C170" s="7">
        <v>11123.13</v>
      </c>
      <c r="D170" s="4">
        <f>Table14[[#This Row],[Equity]]/$F$177</f>
        <v>0.16816874795045317</v>
      </c>
      <c r="E170" t="s">
        <v>6</v>
      </c>
      <c r="F170" s="7">
        <f>Table14[[#This Row],[Value]]</f>
        <v>11123.13</v>
      </c>
    </row>
    <row r="171" spans="1:6" x14ac:dyDescent="0.35">
      <c r="A171" s="5">
        <v>45199</v>
      </c>
      <c r="B171" s="2" t="s">
        <v>7</v>
      </c>
      <c r="C171" s="7">
        <v>2200.1999999999998</v>
      </c>
      <c r="D171" s="4">
        <f>Table14[[#This Row],[Equity]]/$F$177</f>
        <v>3.3264456968549953E-2</v>
      </c>
      <c r="E171" t="s">
        <v>6</v>
      </c>
      <c r="F171" s="7">
        <f>Table14[[#This Row],[Value]]</f>
        <v>2200.1999999999998</v>
      </c>
    </row>
    <row r="172" spans="1:6" x14ac:dyDescent="0.35">
      <c r="A172" s="5">
        <v>45199</v>
      </c>
      <c r="B172" s="2" t="s">
        <v>8</v>
      </c>
      <c r="C172" s="7">
        <v>29454.340000000004</v>
      </c>
      <c r="D172" s="4">
        <f>Table14[[#This Row],[Equity]]/$F$177</f>
        <v>0.44531525564359598</v>
      </c>
      <c r="E172" t="s">
        <v>6</v>
      </c>
      <c r="F172" s="7">
        <f>Table14[[#This Row],[Value]]</f>
        <v>29454.340000000004</v>
      </c>
    </row>
    <row r="173" spans="1:6" x14ac:dyDescent="0.35">
      <c r="A173" s="5">
        <v>45199</v>
      </c>
      <c r="B173" s="2" t="s">
        <v>9</v>
      </c>
      <c r="C173" s="7">
        <v>-25598.639999999999</v>
      </c>
      <c r="D173" s="22">
        <v>1</v>
      </c>
      <c r="E173" t="s">
        <v>10</v>
      </c>
      <c r="F173" s="7">
        <v>0</v>
      </c>
    </row>
    <row r="174" spans="1:6" x14ac:dyDescent="0.35">
      <c r="A174" s="5">
        <v>45199</v>
      </c>
      <c r="B174" s="2" t="s">
        <v>11</v>
      </c>
      <c r="C174" s="7">
        <v>23365</v>
      </c>
      <c r="D174" s="4">
        <f>Table14[[#This Row],[Equity]]/$F$177</f>
        <v>0.35325153943740101</v>
      </c>
      <c r="E174" t="s">
        <v>12</v>
      </c>
      <c r="F174" s="7">
        <f>Table14[[#This Row],[Value]]</f>
        <v>23365</v>
      </c>
    </row>
    <row r="175" spans="1:6" x14ac:dyDescent="0.35">
      <c r="A175" s="5">
        <v>45199</v>
      </c>
      <c r="B175" s="2" t="s">
        <v>13</v>
      </c>
      <c r="C175" s="7">
        <v>0</v>
      </c>
      <c r="D175" s="4">
        <f>Table14[[#This Row],[Equity]]/$F$177</f>
        <v>0</v>
      </c>
      <c r="E175" t="s">
        <v>12</v>
      </c>
      <c r="F175" s="7">
        <f>Table14[[#This Row],[Value]]</f>
        <v>0</v>
      </c>
    </row>
    <row r="176" spans="1:6" s="1" customFormat="1" x14ac:dyDescent="0.35">
      <c r="A176" s="5">
        <v>45199</v>
      </c>
      <c r="B176" s="2" t="s">
        <v>14</v>
      </c>
      <c r="C176" s="7">
        <v>0</v>
      </c>
      <c r="D176" s="4">
        <f>Table14[[#This Row],[Equity]]/$F$177</f>
        <v>0</v>
      </c>
      <c r="E176" t="s">
        <v>6</v>
      </c>
      <c r="F176" s="7">
        <f>Table14[[#This Row],[Value]]</f>
        <v>0</v>
      </c>
    </row>
    <row r="177" spans="1:6" x14ac:dyDescent="0.35">
      <c r="A177" s="5">
        <v>45199</v>
      </c>
      <c r="B177" s="3" t="s">
        <v>15</v>
      </c>
      <c r="C177" s="8">
        <f>SUBTOTAL(109,C170:C176)</f>
        <v>40544.03</v>
      </c>
      <c r="D177" s="6">
        <v>1</v>
      </c>
      <c r="E177" s="1" t="s">
        <v>10</v>
      </c>
      <c r="F177" s="8">
        <f>SUBTOTAL(109,F170:F176)</f>
        <v>66142.67</v>
      </c>
    </row>
    <row r="178" spans="1:6" x14ac:dyDescent="0.35">
      <c r="A178" s="5">
        <v>45230</v>
      </c>
      <c r="B178" s="2" t="s">
        <v>5</v>
      </c>
      <c r="C178" s="7">
        <v>11732.86</v>
      </c>
      <c r="D178" s="4">
        <f>Table14[[#This Row],[Equity]]/$F$185</f>
        <v>0.17260996053594613</v>
      </c>
      <c r="E178" t="s">
        <v>6</v>
      </c>
      <c r="F178" s="7">
        <f>Table14[[#This Row],[Value]]</f>
        <v>11732.86</v>
      </c>
    </row>
    <row r="179" spans="1:6" x14ac:dyDescent="0.35">
      <c r="A179" s="5">
        <v>45230</v>
      </c>
      <c r="B179" s="2" t="s">
        <v>7</v>
      </c>
      <c r="C179" s="7">
        <v>2477.5500000000002</v>
      </c>
      <c r="D179" s="4">
        <f>Table14[[#This Row],[Equity]]/$F$185</f>
        <v>3.6448897176462804E-2</v>
      </c>
      <c r="E179" t="s">
        <v>6</v>
      </c>
      <c r="F179" s="7">
        <f>Table14[[#This Row],[Value]]</f>
        <v>2477.5500000000002</v>
      </c>
    </row>
    <row r="180" spans="1:6" x14ac:dyDescent="0.35">
      <c r="A180" s="5">
        <v>45230</v>
      </c>
      <c r="B180" s="2" t="s">
        <v>8</v>
      </c>
      <c r="C180" s="7">
        <v>30397.84</v>
      </c>
      <c r="D180" s="4">
        <f>Table14[[#This Row],[Equity]]/$F$185</f>
        <v>0.44720298058427399</v>
      </c>
      <c r="E180" t="s">
        <v>6</v>
      </c>
      <c r="F180" s="7">
        <f>Table14[[#This Row],[Value]]</f>
        <v>30397.84</v>
      </c>
    </row>
    <row r="181" spans="1:6" x14ac:dyDescent="0.35">
      <c r="A181" s="5">
        <v>45230</v>
      </c>
      <c r="B181" s="2" t="s">
        <v>9</v>
      </c>
      <c r="C181" s="7">
        <v>-25598.639999999999</v>
      </c>
      <c r="D181" s="22">
        <v>1</v>
      </c>
      <c r="E181" t="s">
        <v>10</v>
      </c>
      <c r="F181" s="7">
        <v>0</v>
      </c>
    </row>
    <row r="182" spans="1:6" x14ac:dyDescent="0.35">
      <c r="A182" s="5">
        <v>45230</v>
      </c>
      <c r="B182" s="2" t="s">
        <v>11</v>
      </c>
      <c r="C182" s="7">
        <v>23365</v>
      </c>
      <c r="D182" s="4">
        <f>Table14[[#This Row],[Equity]]/$F$185</f>
        <v>0.34373816170331711</v>
      </c>
      <c r="E182" t="s">
        <v>12</v>
      </c>
      <c r="F182" s="7">
        <f>Table14[[#This Row],[Value]]</f>
        <v>23365</v>
      </c>
    </row>
    <row r="183" spans="1:6" s="1" customFormat="1" x14ac:dyDescent="0.35">
      <c r="A183" s="5">
        <v>45230</v>
      </c>
      <c r="B183" s="2" t="s">
        <v>13</v>
      </c>
      <c r="C183" s="7">
        <v>0</v>
      </c>
      <c r="D183" s="4">
        <f>Table14[[#This Row],[Equity]]/$F$185</f>
        <v>0</v>
      </c>
      <c r="E183" t="s">
        <v>12</v>
      </c>
      <c r="F183" s="7">
        <f>Table14[[#This Row],[Value]]</f>
        <v>0</v>
      </c>
    </row>
    <row r="184" spans="1:6" x14ac:dyDescent="0.35">
      <c r="A184" s="5">
        <v>45230</v>
      </c>
      <c r="B184" s="2" t="s">
        <v>14</v>
      </c>
      <c r="C184" s="7">
        <v>0</v>
      </c>
      <c r="D184" s="4">
        <f>Table14[[#This Row],[Equity]]/$F$185</f>
        <v>0</v>
      </c>
      <c r="E184" t="s">
        <v>6</v>
      </c>
      <c r="F184" s="7">
        <f>Table14[[#This Row],[Value]]</f>
        <v>0</v>
      </c>
    </row>
    <row r="185" spans="1:6" x14ac:dyDescent="0.35">
      <c r="A185" s="5">
        <v>45230</v>
      </c>
      <c r="B185" s="3" t="s">
        <v>15</v>
      </c>
      <c r="C185" s="8">
        <f>SUBTOTAL(109,C178:C184)</f>
        <v>42374.61</v>
      </c>
      <c r="D185" s="6">
        <v>1</v>
      </c>
      <c r="E185" s="1" t="s">
        <v>10</v>
      </c>
      <c r="F185" s="8">
        <f>SUBTOTAL(109,F178:F184)</f>
        <v>67973.25</v>
      </c>
    </row>
    <row r="186" spans="1:6" x14ac:dyDescent="0.35">
      <c r="A186" s="5">
        <v>45260</v>
      </c>
      <c r="B186" s="2" t="s">
        <v>5</v>
      </c>
      <c r="C186" s="7">
        <v>17848.25</v>
      </c>
      <c r="D186" s="4">
        <f>Table14[[#This Row],[Equity]]/$F$193</f>
        <v>0.23117069323037348</v>
      </c>
      <c r="E186" t="s">
        <v>6</v>
      </c>
      <c r="F186" s="7">
        <f>Table14[[#This Row],[Value]]</f>
        <v>17848.25</v>
      </c>
    </row>
    <row r="187" spans="1:6" x14ac:dyDescent="0.35">
      <c r="A187" s="5">
        <v>45260</v>
      </c>
      <c r="B187" s="2" t="s">
        <v>7</v>
      </c>
      <c r="C187" s="7">
        <v>2805.89</v>
      </c>
      <c r="D187" s="4">
        <f>Table14[[#This Row],[Equity]]/$F$193</f>
        <v>3.6341912312309196E-2</v>
      </c>
      <c r="E187" t="s">
        <v>6</v>
      </c>
      <c r="F187" s="7">
        <f>Table14[[#This Row],[Value]]</f>
        <v>2805.89</v>
      </c>
    </row>
    <row r="188" spans="1:6" x14ac:dyDescent="0.35">
      <c r="A188" s="5">
        <v>45260</v>
      </c>
      <c r="B188" s="2" t="s">
        <v>8</v>
      </c>
      <c r="C188" s="7">
        <v>33188.959999999999</v>
      </c>
      <c r="D188" s="4">
        <f>Table14[[#This Row],[Equity]]/$F$193</f>
        <v>0.42986370601012064</v>
      </c>
      <c r="E188" t="s">
        <v>6</v>
      </c>
      <c r="F188" s="7">
        <f>Table14[[#This Row],[Value]]</f>
        <v>33188.959999999999</v>
      </c>
    </row>
    <row r="189" spans="1:6" x14ac:dyDescent="0.35">
      <c r="A189" s="5">
        <v>45260</v>
      </c>
      <c r="B189" s="2" t="s">
        <v>9</v>
      </c>
      <c r="C189" s="7">
        <v>-25598.639999999999</v>
      </c>
      <c r="D189" s="22">
        <v>1</v>
      </c>
      <c r="E189" t="s">
        <v>10</v>
      </c>
      <c r="F189" s="7">
        <v>0</v>
      </c>
    </row>
    <row r="190" spans="1:6" s="1" customFormat="1" x14ac:dyDescent="0.35">
      <c r="A190" s="5">
        <v>45260</v>
      </c>
      <c r="B190" s="2" t="s">
        <v>11</v>
      </c>
      <c r="C190" s="7">
        <v>23365</v>
      </c>
      <c r="D190" s="4">
        <f>Table14[[#This Row],[Equity]]/$F$193</f>
        <v>0.30262368844719656</v>
      </c>
      <c r="E190" t="s">
        <v>12</v>
      </c>
      <c r="F190" s="7">
        <f>Table14[[#This Row],[Value]]</f>
        <v>23365</v>
      </c>
    </row>
    <row r="191" spans="1:6" x14ac:dyDescent="0.35">
      <c r="A191" s="5">
        <v>45260</v>
      </c>
      <c r="B191" s="2" t="s">
        <v>13</v>
      </c>
      <c r="C191" s="7">
        <v>0</v>
      </c>
      <c r="D191" s="4">
        <f>Table14[[#This Row],[Equity]]/$F$193</f>
        <v>0</v>
      </c>
      <c r="E191" t="s">
        <v>12</v>
      </c>
      <c r="F191" s="7">
        <f>Table14[[#This Row],[Value]]</f>
        <v>0</v>
      </c>
    </row>
    <row r="192" spans="1:6" x14ac:dyDescent="0.35">
      <c r="A192" s="5">
        <v>45260</v>
      </c>
      <c r="B192" s="2" t="s">
        <v>14</v>
      </c>
      <c r="C192" s="7">
        <v>0</v>
      </c>
      <c r="D192" s="4">
        <f>Table14[[#This Row],[Equity]]/$F$193</f>
        <v>0</v>
      </c>
      <c r="E192" t="s">
        <v>6</v>
      </c>
      <c r="F192" s="7">
        <f>Table14[[#This Row],[Value]]</f>
        <v>0</v>
      </c>
    </row>
    <row r="193" spans="1:6" x14ac:dyDescent="0.35">
      <c r="A193" s="5">
        <v>45260</v>
      </c>
      <c r="B193" s="3" t="s">
        <v>15</v>
      </c>
      <c r="C193" s="8">
        <f>SUBTOTAL(109,C186:C192)</f>
        <v>51609.46</v>
      </c>
      <c r="D193" s="6">
        <v>1</v>
      </c>
      <c r="E193" s="1" t="s">
        <v>10</v>
      </c>
      <c r="F193" s="8">
        <f>SUBTOTAL(109,F186:F192)</f>
        <v>77208.100000000006</v>
      </c>
    </row>
    <row r="194" spans="1:6" x14ac:dyDescent="0.35">
      <c r="A194" s="5">
        <v>45291</v>
      </c>
      <c r="B194" s="2" t="s">
        <v>5</v>
      </c>
      <c r="C194" s="7">
        <v>57194.67</v>
      </c>
      <c r="D194" s="4">
        <f>Table14[[#This Row],[Equity]]/$F$201</f>
        <v>0.63249031768348962</v>
      </c>
      <c r="E194" t="s">
        <v>6</v>
      </c>
      <c r="F194" s="7">
        <f>Table14[[#This Row],[Value]]</f>
        <v>57194.67</v>
      </c>
    </row>
    <row r="195" spans="1:6" x14ac:dyDescent="0.35">
      <c r="A195" s="5">
        <v>45291</v>
      </c>
      <c r="B195" s="2" t="s">
        <v>7</v>
      </c>
      <c r="C195" s="7">
        <v>3268.07</v>
      </c>
      <c r="D195" s="4">
        <f>Table14[[#This Row],[Equity]]/$F$201</f>
        <v>3.6140126912383309E-2</v>
      </c>
      <c r="E195" t="s">
        <v>6</v>
      </c>
      <c r="F195" s="7">
        <f>Table14[[#This Row],[Value]]</f>
        <v>3268.07</v>
      </c>
    </row>
    <row r="196" spans="1:6" x14ac:dyDescent="0.35">
      <c r="A196" s="5">
        <v>45291</v>
      </c>
      <c r="B196" s="2" t="s">
        <v>8</v>
      </c>
      <c r="C196" s="7">
        <v>0</v>
      </c>
      <c r="D196" s="4">
        <f>Table14[[#This Row],[Equity]]/$F$201</f>
        <v>0</v>
      </c>
      <c r="E196" t="s">
        <v>6</v>
      </c>
      <c r="F196" s="7">
        <f>Table14[[#This Row],[Value]]</f>
        <v>0</v>
      </c>
    </row>
    <row r="197" spans="1:6" s="1" customFormat="1" x14ac:dyDescent="0.35">
      <c r="A197" s="5">
        <v>45291</v>
      </c>
      <c r="B197" s="2" t="s">
        <v>9</v>
      </c>
      <c r="C197" s="7">
        <v>-25598.639999999999</v>
      </c>
      <c r="D197" s="22">
        <v>1</v>
      </c>
      <c r="E197" t="s">
        <v>10</v>
      </c>
      <c r="F197" s="7">
        <v>0</v>
      </c>
    </row>
    <row r="198" spans="1:6" x14ac:dyDescent="0.35">
      <c r="A198" s="5">
        <v>45291</v>
      </c>
      <c r="B198" s="2" t="s">
        <v>11</v>
      </c>
      <c r="C198" s="7">
        <v>29965</v>
      </c>
      <c r="D198" s="4">
        <f>Table14[[#This Row],[Equity]]/$F$201</f>
        <v>0.3313695554041271</v>
      </c>
      <c r="E198" t="s">
        <v>12</v>
      </c>
      <c r="F198" s="7">
        <f>Table14[[#This Row],[Value]]</f>
        <v>29965</v>
      </c>
    </row>
    <row r="199" spans="1:6" x14ac:dyDescent="0.35">
      <c r="A199" s="5">
        <v>45291</v>
      </c>
      <c r="B199" s="2" t="s">
        <v>13</v>
      </c>
      <c r="C199" s="7">
        <v>0</v>
      </c>
      <c r="D199" s="4">
        <f>Table14[[#This Row],[Equity]]/$F$201</f>
        <v>0</v>
      </c>
      <c r="E199" t="s">
        <v>12</v>
      </c>
      <c r="F199" s="7">
        <f>Table14[[#This Row],[Value]]</f>
        <v>0</v>
      </c>
    </row>
    <row r="200" spans="1:6" x14ac:dyDescent="0.35">
      <c r="A200" s="5">
        <v>45291</v>
      </c>
      <c r="B200" s="2" t="s">
        <v>14</v>
      </c>
      <c r="C200" s="7">
        <v>0</v>
      </c>
      <c r="D200" s="4">
        <f>Table14[[#This Row],[Equity]]/$F$201</f>
        <v>0</v>
      </c>
      <c r="E200" t="s">
        <v>6</v>
      </c>
      <c r="F200" s="7">
        <f>Table14[[#This Row],[Value]]</f>
        <v>0</v>
      </c>
    </row>
    <row r="201" spans="1:6" x14ac:dyDescent="0.35">
      <c r="A201" s="5">
        <v>45291</v>
      </c>
      <c r="B201" s="3" t="s">
        <v>15</v>
      </c>
      <c r="C201" s="8">
        <f>SUBTOTAL(109,C194:C200)</f>
        <v>64829.1</v>
      </c>
      <c r="D201" s="6">
        <v>1</v>
      </c>
      <c r="E201" s="1" t="s">
        <v>10</v>
      </c>
      <c r="F201" s="8">
        <f>SUBTOTAL(109,F194:F200)</f>
        <v>90427.739999999991</v>
      </c>
    </row>
    <row r="202" spans="1:6" x14ac:dyDescent="0.35">
      <c r="A202" s="5">
        <v>45322</v>
      </c>
      <c r="B202" s="2" t="s">
        <v>5</v>
      </c>
      <c r="C202" s="7">
        <v>59025.340000000004</v>
      </c>
      <c r="D202" s="4">
        <f>Table14[[#This Row],[Equity]]/$F$209</f>
        <v>0.64071342662747333</v>
      </c>
      <c r="E202" t="s">
        <v>6</v>
      </c>
      <c r="F202" s="7">
        <f>Table14[[#This Row],[Value]]</f>
        <v>59025.340000000004</v>
      </c>
    </row>
    <row r="203" spans="1:6" x14ac:dyDescent="0.35">
      <c r="A203" s="5">
        <v>45322</v>
      </c>
      <c r="B203" s="2" t="s">
        <v>7</v>
      </c>
      <c r="C203" s="7">
        <v>3134.06</v>
      </c>
      <c r="D203" s="4">
        <f>Table14[[#This Row],[Equity]]/$F$209</f>
        <v>3.4019868786119636E-2</v>
      </c>
      <c r="E203" t="s">
        <v>6</v>
      </c>
      <c r="F203" s="7">
        <f>Table14[[#This Row],[Value]]</f>
        <v>3134.06</v>
      </c>
    </row>
    <row r="204" spans="1:6" s="1" customFormat="1" x14ac:dyDescent="0.35">
      <c r="A204" s="5">
        <v>45322</v>
      </c>
      <c r="B204" s="2" t="s">
        <v>8</v>
      </c>
      <c r="C204" s="7">
        <v>0</v>
      </c>
      <c r="D204" s="4">
        <f>Table14[[#This Row],[Equity]]/$F$209</f>
        <v>0</v>
      </c>
      <c r="E204" t="s">
        <v>6</v>
      </c>
      <c r="F204" s="7">
        <f>Table14[[#This Row],[Value]]</f>
        <v>0</v>
      </c>
    </row>
    <row r="205" spans="1:6" x14ac:dyDescent="0.35">
      <c r="A205" s="5">
        <v>45322</v>
      </c>
      <c r="B205" s="2" t="s">
        <v>9</v>
      </c>
      <c r="C205" s="7">
        <v>-25598.639999999999</v>
      </c>
      <c r="D205" s="22">
        <v>1</v>
      </c>
      <c r="E205" t="s">
        <v>10</v>
      </c>
      <c r="F205" s="7">
        <v>0</v>
      </c>
    </row>
    <row r="206" spans="1:6" x14ac:dyDescent="0.35">
      <c r="A206" s="5">
        <v>45322</v>
      </c>
      <c r="B206" s="2" t="s">
        <v>11</v>
      </c>
      <c r="C206" s="7">
        <v>29965</v>
      </c>
      <c r="D206" s="4">
        <f>Table14[[#This Row],[Equity]]/$F$209</f>
        <v>0.32526670458640711</v>
      </c>
      <c r="E206" t="s">
        <v>12</v>
      </c>
      <c r="F206" s="7">
        <f>Table14[[#This Row],[Value]]</f>
        <v>29965</v>
      </c>
    </row>
    <row r="207" spans="1:6" x14ac:dyDescent="0.35">
      <c r="A207" s="5">
        <v>45322</v>
      </c>
      <c r="B207" s="2" t="s">
        <v>13</v>
      </c>
      <c r="C207" s="7">
        <v>0</v>
      </c>
      <c r="D207" s="4">
        <f>Table14[[#This Row],[Equity]]/$F$209</f>
        <v>0</v>
      </c>
      <c r="E207" t="s">
        <v>12</v>
      </c>
      <c r="F207" s="7">
        <f>Table14[[#This Row],[Value]]</f>
        <v>0</v>
      </c>
    </row>
    <row r="208" spans="1:6" x14ac:dyDescent="0.35">
      <c r="A208" s="5">
        <v>45322</v>
      </c>
      <c r="B208" s="2" t="s">
        <v>14</v>
      </c>
      <c r="C208" s="7">
        <v>0</v>
      </c>
      <c r="D208" s="4">
        <f>Table14[[#This Row],[Equity]]/$F$209</f>
        <v>0</v>
      </c>
      <c r="E208" t="s">
        <v>6</v>
      </c>
      <c r="F208" s="7">
        <f>Table14[[#This Row],[Value]]</f>
        <v>0</v>
      </c>
    </row>
    <row r="209" spans="1:6" x14ac:dyDescent="0.35">
      <c r="A209" s="5">
        <v>45322</v>
      </c>
      <c r="B209" s="3" t="s">
        <v>15</v>
      </c>
      <c r="C209" s="8">
        <f>SUBTOTAL(109,C202:C208)</f>
        <v>66525.760000000009</v>
      </c>
      <c r="D209" s="6">
        <v>1</v>
      </c>
      <c r="E209" s="1" t="s">
        <v>10</v>
      </c>
      <c r="F209" s="8">
        <f>SUBTOTAL(109,F202:F208)</f>
        <v>92124.4</v>
      </c>
    </row>
    <row r="210" spans="1:6" x14ac:dyDescent="0.35">
      <c r="A210" s="5">
        <v>45351</v>
      </c>
      <c r="B210" s="2" t="s">
        <v>5</v>
      </c>
      <c r="C210" s="7">
        <v>62292.14</v>
      </c>
      <c r="D210" s="4">
        <f>Table14[[#This Row],[Equity]]/$F$217</f>
        <v>0.64331898643923136</v>
      </c>
      <c r="E210" t="s">
        <v>6</v>
      </c>
      <c r="F210" s="7">
        <f>Table14[[#This Row],[Value]]</f>
        <v>62292.14</v>
      </c>
    </row>
    <row r="211" spans="1:6" s="1" customFormat="1" x14ac:dyDescent="0.35">
      <c r="A211" s="5">
        <v>45351</v>
      </c>
      <c r="B211" s="2" t="s">
        <v>7</v>
      </c>
      <c r="C211" s="7">
        <v>4572.18</v>
      </c>
      <c r="D211" s="4">
        <f>Table14[[#This Row],[Equity]]/$F$217</f>
        <v>4.7218962190377869E-2</v>
      </c>
      <c r="E211" t="s">
        <v>6</v>
      </c>
      <c r="F211" s="7">
        <f>Table14[[#This Row],[Value]]</f>
        <v>4572.18</v>
      </c>
    </row>
    <row r="212" spans="1:6" x14ac:dyDescent="0.35">
      <c r="A212" s="5">
        <v>45351</v>
      </c>
      <c r="B212" s="2" t="s">
        <v>8</v>
      </c>
      <c r="C212" s="7">
        <v>0</v>
      </c>
      <c r="D212" s="4">
        <f>Table14[[#This Row],[Equity]]/$F$217</f>
        <v>0</v>
      </c>
      <c r="E212" t="s">
        <v>6</v>
      </c>
      <c r="F212" s="7">
        <f>Table14[[#This Row],[Value]]</f>
        <v>0</v>
      </c>
    </row>
    <row r="213" spans="1:6" x14ac:dyDescent="0.35">
      <c r="A213" s="5">
        <v>45351</v>
      </c>
      <c r="B213" s="2" t="s">
        <v>9</v>
      </c>
      <c r="C213" s="7">
        <v>-25598.639999999999</v>
      </c>
      <c r="D213" s="22">
        <v>1</v>
      </c>
      <c r="E213" t="s">
        <v>10</v>
      </c>
      <c r="F213" s="7">
        <v>0</v>
      </c>
    </row>
    <row r="214" spans="1:6" x14ac:dyDescent="0.35">
      <c r="A214" s="5">
        <v>45351</v>
      </c>
      <c r="B214" s="2" t="s">
        <v>11</v>
      </c>
      <c r="C214" s="7">
        <v>29965</v>
      </c>
      <c r="D214" s="4">
        <f>Table14[[#This Row],[Equity]]/$F$217</f>
        <v>0.30946205137039068</v>
      </c>
      <c r="E214" t="s">
        <v>12</v>
      </c>
      <c r="F214" s="7">
        <f>Table14[[#This Row],[Value]]</f>
        <v>29965</v>
      </c>
    </row>
    <row r="215" spans="1:6" x14ac:dyDescent="0.35">
      <c r="A215" s="5">
        <v>45351</v>
      </c>
      <c r="B215" s="2" t="s">
        <v>13</v>
      </c>
      <c r="C215" s="7">
        <v>0</v>
      </c>
      <c r="D215" s="4">
        <f>Table14[[#This Row],[Equity]]/$F$217</f>
        <v>0</v>
      </c>
      <c r="E215" t="s">
        <v>12</v>
      </c>
      <c r="F215" s="7">
        <f>Table14[[#This Row],[Value]]</f>
        <v>0</v>
      </c>
    </row>
    <row r="216" spans="1:6" x14ac:dyDescent="0.35">
      <c r="A216" s="5">
        <v>45351</v>
      </c>
      <c r="B216" s="2" t="s">
        <v>14</v>
      </c>
      <c r="C216" s="7">
        <v>0</v>
      </c>
      <c r="D216" s="4">
        <f>Table14[[#This Row],[Equity]]/$F$217</f>
        <v>0</v>
      </c>
      <c r="E216" t="s">
        <v>6</v>
      </c>
      <c r="F216" s="7">
        <f>Table14[[#This Row],[Value]]</f>
        <v>0</v>
      </c>
    </row>
    <row r="217" spans="1:6" x14ac:dyDescent="0.35">
      <c r="A217" s="5">
        <v>45351</v>
      </c>
      <c r="B217" s="3" t="s">
        <v>15</v>
      </c>
      <c r="C217" s="8">
        <f>SUBTOTAL(109,C210:C216)</f>
        <v>71230.680000000008</v>
      </c>
      <c r="D217" s="6">
        <v>1</v>
      </c>
      <c r="E217" s="1" t="s">
        <v>10</v>
      </c>
      <c r="F217" s="8">
        <f>SUBTOTAL(109,F210:F216)</f>
        <v>96829.32</v>
      </c>
    </row>
    <row r="218" spans="1:6" s="1" customFormat="1" x14ac:dyDescent="0.35">
      <c r="A218" s="5">
        <v>45382</v>
      </c>
      <c r="B218" s="2" t="s">
        <v>5</v>
      </c>
      <c r="C218" s="7">
        <v>63710.86</v>
      </c>
      <c r="D218" s="4">
        <f>Table14[[#This Row],[Equity]]/$F$225</f>
        <v>0.64348989625418385</v>
      </c>
      <c r="E218" t="s">
        <v>6</v>
      </c>
      <c r="F218" s="7">
        <f>Table14[[#This Row],[Value]]</f>
        <v>63710.86</v>
      </c>
    </row>
    <row r="219" spans="1:6" x14ac:dyDescent="0.35">
      <c r="A219" s="5">
        <v>45382</v>
      </c>
      <c r="B219" s="2" t="s">
        <v>7</v>
      </c>
      <c r="C219" s="7">
        <v>5292.47</v>
      </c>
      <c r="D219" s="4">
        <f>Table14[[#This Row],[Equity]]/$F$225</f>
        <v>5.345479516723492E-2</v>
      </c>
      <c r="E219" t="s">
        <v>6</v>
      </c>
      <c r="F219" s="7">
        <f>Table14[[#This Row],[Value]]</f>
        <v>5292.47</v>
      </c>
    </row>
    <row r="220" spans="1:6" x14ac:dyDescent="0.35">
      <c r="A220" s="5">
        <v>45382</v>
      </c>
      <c r="B220" s="2" t="s">
        <v>8</v>
      </c>
      <c r="C220" s="7">
        <v>0</v>
      </c>
      <c r="D220" s="4">
        <f>Table14[[#This Row],[Equity]]/$F$225</f>
        <v>0</v>
      </c>
      <c r="E220" t="s">
        <v>6</v>
      </c>
      <c r="F220" s="7">
        <f>Table14[[#This Row],[Value]]</f>
        <v>0</v>
      </c>
    </row>
    <row r="221" spans="1:6" x14ac:dyDescent="0.35">
      <c r="A221" s="5">
        <v>45382</v>
      </c>
      <c r="B221" s="2" t="s">
        <v>9</v>
      </c>
      <c r="C221" s="7">
        <v>-25598.639999999999</v>
      </c>
      <c r="D221" s="22">
        <v>1</v>
      </c>
      <c r="E221" t="s">
        <v>10</v>
      </c>
      <c r="F221" s="7">
        <v>0</v>
      </c>
    </row>
    <row r="222" spans="1:6" x14ac:dyDescent="0.35">
      <c r="A222" s="5">
        <v>45382</v>
      </c>
      <c r="B222" s="2" t="s">
        <v>11</v>
      </c>
      <c r="C222" s="7">
        <v>30005</v>
      </c>
      <c r="D222" s="4">
        <f>Table14[[#This Row],[Equity]]/$F$225</f>
        <v>0.30305530857858121</v>
      </c>
      <c r="E222" t="s">
        <v>12</v>
      </c>
      <c r="F222" s="7">
        <f>Table14[[#This Row],[Value]]</f>
        <v>30005</v>
      </c>
    </row>
    <row r="223" spans="1:6" x14ac:dyDescent="0.35">
      <c r="A223" s="5">
        <v>45382</v>
      </c>
      <c r="B223" s="2" t="s">
        <v>13</v>
      </c>
      <c r="C223" s="7">
        <v>0</v>
      </c>
      <c r="D223" s="4">
        <f>Table14[[#This Row],[Equity]]/$F$225</f>
        <v>0</v>
      </c>
      <c r="E223" t="s">
        <v>12</v>
      </c>
      <c r="F223" s="7">
        <f>Table14[[#This Row],[Value]]</f>
        <v>0</v>
      </c>
    </row>
    <row r="224" spans="1:6" x14ac:dyDescent="0.35">
      <c r="A224" s="5">
        <v>45382</v>
      </c>
      <c r="B224" s="2" t="s">
        <v>14</v>
      </c>
      <c r="C224" s="7">
        <v>0</v>
      </c>
      <c r="D224" s="4">
        <f>Table14[[#This Row],[Equity]]/$F$225</f>
        <v>0</v>
      </c>
      <c r="E224" t="s">
        <v>6</v>
      </c>
      <c r="F224" s="7">
        <f>Table14[[#This Row],[Value]]</f>
        <v>0</v>
      </c>
    </row>
    <row r="225" spans="1:6" s="1" customFormat="1" x14ac:dyDescent="0.35">
      <c r="A225" s="5">
        <v>45382</v>
      </c>
      <c r="B225" s="3" t="s">
        <v>15</v>
      </c>
      <c r="C225" s="8">
        <f>SUBTOTAL(109,C218:C224)</f>
        <v>73409.69</v>
      </c>
      <c r="D225" s="6">
        <v>1</v>
      </c>
      <c r="E225" s="1" t="s">
        <v>10</v>
      </c>
      <c r="F225" s="8">
        <f>SUBTOTAL(109,F218:F224)</f>
        <v>99008.33</v>
      </c>
    </row>
    <row r="226" spans="1:6" x14ac:dyDescent="0.35">
      <c r="A226" s="5">
        <v>45412</v>
      </c>
      <c r="B226" s="2" t="s">
        <v>5</v>
      </c>
      <c r="C226" s="7">
        <v>66803.009999999995</v>
      </c>
      <c r="D226" s="4">
        <f>Table14[[#This Row],[Equity]]/$F$233</f>
        <v>0.65967843902624002</v>
      </c>
      <c r="E226" t="s">
        <v>6</v>
      </c>
      <c r="F226" s="7">
        <f>Table14[[#This Row],[Value]]</f>
        <v>66803.009999999995</v>
      </c>
    </row>
    <row r="227" spans="1:6" x14ac:dyDescent="0.35">
      <c r="A227" s="5">
        <v>45412</v>
      </c>
      <c r="B227" s="2" t="s">
        <v>7</v>
      </c>
      <c r="C227" s="7">
        <v>4458.01</v>
      </c>
      <c r="D227" s="4">
        <f>Table14[[#This Row],[Equity]]/$F$233</f>
        <v>4.4022763015669035E-2</v>
      </c>
      <c r="E227" t="s">
        <v>6</v>
      </c>
      <c r="F227" s="7">
        <f>Table14[[#This Row],[Value]]</f>
        <v>4458.01</v>
      </c>
    </row>
    <row r="228" spans="1:6" x14ac:dyDescent="0.35">
      <c r="A228" s="5">
        <v>45412</v>
      </c>
      <c r="B228" s="2" t="s">
        <v>8</v>
      </c>
      <c r="C228" s="7">
        <v>0</v>
      </c>
      <c r="D228" s="4">
        <f>Table14[[#This Row],[Equity]]/$F$233</f>
        <v>0</v>
      </c>
      <c r="E228" t="s">
        <v>6</v>
      </c>
      <c r="F228" s="7">
        <f>Table14[[#This Row],[Value]]</f>
        <v>0</v>
      </c>
    </row>
    <row r="229" spans="1:6" x14ac:dyDescent="0.35">
      <c r="A229" s="5">
        <v>45412</v>
      </c>
      <c r="B229" s="2" t="s">
        <v>9</v>
      </c>
      <c r="C229" s="7">
        <v>-25598.639999999999</v>
      </c>
      <c r="D229" s="22">
        <v>1</v>
      </c>
      <c r="E229" t="s">
        <v>10</v>
      </c>
      <c r="F229" s="7">
        <v>0</v>
      </c>
    </row>
    <row r="230" spans="1:6" x14ac:dyDescent="0.35">
      <c r="A230" s="5">
        <v>45412</v>
      </c>
      <c r="B230" s="2" t="s">
        <v>11</v>
      </c>
      <c r="C230" s="7">
        <v>30005</v>
      </c>
      <c r="D230" s="4">
        <f>Table14[[#This Row],[Equity]]/$F$233</f>
        <v>0.296298797958091</v>
      </c>
      <c r="E230" t="s">
        <v>12</v>
      </c>
      <c r="F230" s="7">
        <f>Table14[[#This Row],[Value]]</f>
        <v>30005</v>
      </c>
    </row>
    <row r="231" spans="1:6" x14ac:dyDescent="0.35">
      <c r="A231" s="5">
        <v>45412</v>
      </c>
      <c r="B231" s="2" t="s">
        <v>13</v>
      </c>
      <c r="C231" s="7">
        <v>0</v>
      </c>
      <c r="D231" s="4">
        <f>Table14[[#This Row],[Equity]]/$F$233</f>
        <v>0</v>
      </c>
      <c r="E231" t="s">
        <v>12</v>
      </c>
      <c r="F231" s="7">
        <f>Table14[[#This Row],[Value]]</f>
        <v>0</v>
      </c>
    </row>
    <row r="232" spans="1:6" s="1" customFormat="1" x14ac:dyDescent="0.35">
      <c r="A232" s="5">
        <v>45412</v>
      </c>
      <c r="B232" s="2" t="s">
        <v>14</v>
      </c>
      <c r="C232" s="7">
        <v>0</v>
      </c>
      <c r="D232" s="4">
        <f>Table14[[#This Row],[Equity]]/$F$233</f>
        <v>0</v>
      </c>
      <c r="E232" t="s">
        <v>6</v>
      </c>
      <c r="F232" s="7">
        <f>Table14[[#This Row],[Value]]</f>
        <v>0</v>
      </c>
    </row>
    <row r="233" spans="1:6" x14ac:dyDescent="0.35">
      <c r="A233" s="5">
        <v>45412</v>
      </c>
      <c r="B233" s="3" t="s">
        <v>15</v>
      </c>
      <c r="C233" s="8">
        <f>SUBTOTAL(109,C226:C232)</f>
        <v>75667.37999999999</v>
      </c>
      <c r="D233" s="6">
        <v>1</v>
      </c>
      <c r="E233" s="1" t="s">
        <v>10</v>
      </c>
      <c r="F233" s="8">
        <f>SUBTOTAL(109,F226:F232)</f>
        <v>101266.01999999999</v>
      </c>
    </row>
    <row r="234" spans="1:6" x14ac:dyDescent="0.35">
      <c r="A234" s="5">
        <v>45443</v>
      </c>
      <c r="B234" s="2" t="s">
        <v>5</v>
      </c>
      <c r="C234" s="7">
        <v>74340.62</v>
      </c>
      <c r="D234" s="4">
        <f>Table14[[#This Row],[Equity]]/$F$241</f>
        <v>0.68018217824101268</v>
      </c>
      <c r="E234" t="s">
        <v>6</v>
      </c>
      <c r="F234" s="7">
        <f>Table14[[#This Row],[Value]]</f>
        <v>74340.62</v>
      </c>
    </row>
    <row r="235" spans="1:6" x14ac:dyDescent="0.35">
      <c r="A235" s="5">
        <v>45443</v>
      </c>
      <c r="B235" s="2" t="s">
        <v>7</v>
      </c>
      <c r="C235" s="7">
        <v>4949.54</v>
      </c>
      <c r="D235" s="4">
        <f>Table14[[#This Row],[Equity]]/$F$241</f>
        <v>4.5285994366081724E-2</v>
      </c>
      <c r="E235" t="s">
        <v>6</v>
      </c>
      <c r="F235" s="7">
        <f>Table14[[#This Row],[Value]]</f>
        <v>4949.54</v>
      </c>
    </row>
    <row r="236" spans="1:6" x14ac:dyDescent="0.35">
      <c r="A236" s="5">
        <v>45443</v>
      </c>
      <c r="B236" s="2" t="s">
        <v>8</v>
      </c>
      <c r="C236" s="7">
        <v>0</v>
      </c>
      <c r="D236" s="4">
        <f>Table14[[#This Row],[Equity]]/$F$241</f>
        <v>0</v>
      </c>
      <c r="E236" t="s">
        <v>6</v>
      </c>
      <c r="F236" s="7">
        <f>Table14[[#This Row],[Value]]</f>
        <v>0</v>
      </c>
    </row>
    <row r="237" spans="1:6" x14ac:dyDescent="0.35">
      <c r="A237" s="5">
        <v>45443</v>
      </c>
      <c r="B237" s="2" t="s">
        <v>9</v>
      </c>
      <c r="C237" s="7">
        <v>-25598.639999999999</v>
      </c>
      <c r="D237" s="22">
        <v>1</v>
      </c>
      <c r="E237" t="s">
        <v>10</v>
      </c>
      <c r="F237" s="7">
        <v>0</v>
      </c>
    </row>
    <row r="238" spans="1:6" x14ac:dyDescent="0.35">
      <c r="A238" s="5">
        <v>45443</v>
      </c>
      <c r="B238" s="2" t="s">
        <v>11</v>
      </c>
      <c r="C238" s="7">
        <v>30005</v>
      </c>
      <c r="D238" s="4">
        <f>Table14[[#This Row],[Equity]]/$F$241</f>
        <v>0.2745318273929056</v>
      </c>
      <c r="E238" t="s">
        <v>12</v>
      </c>
      <c r="F238" s="7">
        <f>Table14[[#This Row],[Value]]</f>
        <v>30005</v>
      </c>
    </row>
    <row r="239" spans="1:6" s="1" customFormat="1" x14ac:dyDescent="0.35">
      <c r="A239" s="5">
        <v>45443</v>
      </c>
      <c r="B239" s="2" t="s">
        <v>13</v>
      </c>
      <c r="C239" s="7">
        <v>0</v>
      </c>
      <c r="D239" s="4">
        <f>Table14[[#This Row],[Equity]]/$F$241</f>
        <v>0</v>
      </c>
      <c r="E239" t="s">
        <v>12</v>
      </c>
      <c r="F239" s="7">
        <f>Table14[[#This Row],[Value]]</f>
        <v>0</v>
      </c>
    </row>
    <row r="240" spans="1:6" x14ac:dyDescent="0.35">
      <c r="A240" s="5">
        <v>45443</v>
      </c>
      <c r="B240" s="2" t="s">
        <v>14</v>
      </c>
      <c r="C240" s="7">
        <v>0</v>
      </c>
      <c r="D240" s="4">
        <f>Table14[[#This Row],[Equity]]/$F$241</f>
        <v>0</v>
      </c>
      <c r="E240" t="s">
        <v>6</v>
      </c>
      <c r="F240" s="7">
        <f>Table14[[#This Row],[Value]]</f>
        <v>0</v>
      </c>
    </row>
    <row r="241" spans="1:6" x14ac:dyDescent="0.35">
      <c r="A241" s="5">
        <v>45443</v>
      </c>
      <c r="B241" s="3" t="s">
        <v>15</v>
      </c>
      <c r="C241" s="8">
        <f>SUBTOTAL(109,C234:C240)</f>
        <v>83696.51999999999</v>
      </c>
      <c r="D241" s="6">
        <v>1</v>
      </c>
      <c r="E241" s="1" t="s">
        <v>10</v>
      </c>
      <c r="F241" s="8">
        <f>SUBTOTAL(109,F234:F240)</f>
        <v>109295.15999999999</v>
      </c>
    </row>
    <row r="242" spans="1:6" x14ac:dyDescent="0.35">
      <c r="A242" s="5">
        <v>45473</v>
      </c>
      <c r="B242" s="2" t="s">
        <v>5</v>
      </c>
      <c r="C242" s="7">
        <v>77502.600000000006</v>
      </c>
      <c r="D242" s="4">
        <f>Table14[[#This Row],[Equity]]/$F$249</f>
        <v>0.69445560763051184</v>
      </c>
      <c r="E242" t="s">
        <v>6</v>
      </c>
      <c r="F242" s="7">
        <f>Table14[[#This Row],[Value]]</f>
        <v>77502.600000000006</v>
      </c>
    </row>
    <row r="243" spans="1:6" x14ac:dyDescent="0.35">
      <c r="A243" s="5">
        <v>45473</v>
      </c>
      <c r="B243" s="2" t="s">
        <v>7</v>
      </c>
      <c r="C243" s="7">
        <v>4403.3500000000004</v>
      </c>
      <c r="D243" s="4">
        <f>Table14[[#This Row],[Equity]]/$F$249</f>
        <v>3.9455851801872638E-2</v>
      </c>
      <c r="E243" t="s">
        <v>6</v>
      </c>
      <c r="F243" s="7">
        <f>Table14[[#This Row],[Value]]</f>
        <v>4403.3500000000004</v>
      </c>
    </row>
    <row r="244" spans="1:6" x14ac:dyDescent="0.35">
      <c r="A244" s="5">
        <v>45473</v>
      </c>
      <c r="B244" s="2" t="s">
        <v>8</v>
      </c>
      <c r="C244" s="7">
        <v>0</v>
      </c>
      <c r="D244" s="4">
        <f>Table14[[#This Row],[Equity]]/$F$249</f>
        <v>0</v>
      </c>
      <c r="E244" t="s">
        <v>6</v>
      </c>
      <c r="F244" s="7">
        <f>Table14[[#This Row],[Value]]</f>
        <v>0</v>
      </c>
    </row>
    <row r="245" spans="1:6" x14ac:dyDescent="0.35">
      <c r="A245" s="5">
        <v>45473</v>
      </c>
      <c r="B245" s="2" t="s">
        <v>9</v>
      </c>
      <c r="C245" s="7">
        <v>-25598.639999999999</v>
      </c>
      <c r="D245" s="22">
        <v>1</v>
      </c>
      <c r="E245" t="s">
        <v>10</v>
      </c>
      <c r="F245" s="7">
        <v>0</v>
      </c>
    </row>
    <row r="246" spans="1:6" x14ac:dyDescent="0.35">
      <c r="A246" s="5">
        <v>45473</v>
      </c>
      <c r="B246" s="2" t="s">
        <v>11</v>
      </c>
      <c r="C246" s="7">
        <v>29696</v>
      </c>
      <c r="D246" s="4">
        <f>Table14[[#This Row],[Equity]]/$F$249</f>
        <v>0.26608854056761549</v>
      </c>
      <c r="E246" t="s">
        <v>12</v>
      </c>
      <c r="F246" s="7">
        <f>Table14[[#This Row],[Value]]</f>
        <v>29696</v>
      </c>
    </row>
    <row r="247" spans="1:6" x14ac:dyDescent="0.35">
      <c r="A247" s="5">
        <v>45473</v>
      </c>
      <c r="B247" s="2" t="s">
        <v>13</v>
      </c>
      <c r="C247" s="7">
        <v>0</v>
      </c>
      <c r="D247" s="4">
        <f>Table14[[#This Row],[Equity]]/$F$249</f>
        <v>0</v>
      </c>
      <c r="E247" t="s">
        <v>12</v>
      </c>
      <c r="F247" s="7">
        <f>Table14[[#This Row],[Value]]</f>
        <v>0</v>
      </c>
    </row>
    <row r="248" spans="1:6" x14ac:dyDescent="0.35">
      <c r="A248" s="5">
        <v>45473</v>
      </c>
      <c r="B248" s="2" t="s">
        <v>14</v>
      </c>
      <c r="C248" s="7">
        <v>0</v>
      </c>
      <c r="D248" s="4">
        <f>Table14[[#This Row],[Equity]]/$F$249</f>
        <v>0</v>
      </c>
      <c r="E248" t="s">
        <v>6</v>
      </c>
      <c r="F248" s="7">
        <f>Table14[[#This Row],[Value]]</f>
        <v>0</v>
      </c>
    </row>
    <row r="249" spans="1:6" x14ac:dyDescent="0.35">
      <c r="A249" s="5">
        <v>45473</v>
      </c>
      <c r="B249" s="3" t="s">
        <v>15</v>
      </c>
      <c r="C249" s="8">
        <f>SUBTOTAL(109,C242:C248)</f>
        <v>86003.310000000012</v>
      </c>
      <c r="D249" s="6">
        <v>1</v>
      </c>
      <c r="E249" s="1" t="s">
        <v>10</v>
      </c>
      <c r="F249" s="8">
        <f>SUBTOTAL(109,F242:F248)</f>
        <v>111601.95000000001</v>
      </c>
    </row>
    <row r="250" spans="1:6" x14ac:dyDescent="0.35">
      <c r="A250" s="5">
        <v>45504</v>
      </c>
      <c r="B250" s="2" t="s">
        <v>5</v>
      </c>
      <c r="C250" s="7">
        <v>59470.1</v>
      </c>
      <c r="D250" s="4">
        <f>Table14[[#This Row],[Equity]]/$F$257</f>
        <v>0.27896402308319035</v>
      </c>
      <c r="E250" t="s">
        <v>6</v>
      </c>
      <c r="F250" s="7">
        <f>Table14[[#This Row],[Value]]</f>
        <v>59470.1</v>
      </c>
    </row>
    <row r="251" spans="1:6" x14ac:dyDescent="0.35">
      <c r="A251" s="5">
        <v>45504</v>
      </c>
      <c r="B251" s="2" t="s">
        <v>7</v>
      </c>
      <c r="C251" s="7">
        <v>4015.87</v>
      </c>
      <c r="D251" s="4">
        <f>Table14[[#This Row],[Equity]]/$F$257</f>
        <v>1.8837756307440071E-2</v>
      </c>
      <c r="E251" t="s">
        <v>6</v>
      </c>
      <c r="F251" s="7">
        <f>Table14[[#This Row],[Value]]</f>
        <v>4015.87</v>
      </c>
    </row>
    <row r="252" spans="1:6" x14ac:dyDescent="0.35">
      <c r="A252" s="5">
        <v>45504</v>
      </c>
      <c r="B252" s="2" t="s">
        <v>8</v>
      </c>
      <c r="C252" s="7">
        <v>20000</v>
      </c>
      <c r="D252" s="4">
        <f>Table14[[#This Row],[Equity]]/$F$257</f>
        <v>9.3816564318267626E-2</v>
      </c>
      <c r="E252" t="s">
        <v>6</v>
      </c>
      <c r="F252" s="7">
        <f>Table14[[#This Row],[Value]]</f>
        <v>20000</v>
      </c>
    </row>
    <row r="253" spans="1:6" x14ac:dyDescent="0.35">
      <c r="A253" s="5">
        <v>45504</v>
      </c>
      <c r="B253" s="2" t="s">
        <v>9</v>
      </c>
      <c r="C253" s="7">
        <v>-25598.639999999999</v>
      </c>
      <c r="D253" s="22">
        <v>1</v>
      </c>
      <c r="E253" t="s">
        <v>10</v>
      </c>
      <c r="F253" s="7">
        <v>0</v>
      </c>
    </row>
    <row r="254" spans="1:6" x14ac:dyDescent="0.35">
      <c r="A254" s="5">
        <v>45504</v>
      </c>
      <c r="B254" s="2" t="s">
        <v>11</v>
      </c>
      <c r="C254" s="7">
        <v>29696</v>
      </c>
      <c r="D254" s="4">
        <f>Table14[[#This Row],[Equity]]/$F$257</f>
        <v>0.13929883469976378</v>
      </c>
      <c r="E254" t="s">
        <v>12</v>
      </c>
      <c r="F254" s="7">
        <f>Table14[[#This Row],[Value]]</f>
        <v>29696</v>
      </c>
    </row>
    <row r="255" spans="1:6" x14ac:dyDescent="0.35">
      <c r="A255" s="5">
        <v>45504</v>
      </c>
      <c r="B255" s="2" t="s">
        <v>13</v>
      </c>
      <c r="C255" s="7">
        <v>100000</v>
      </c>
      <c r="D255" s="4">
        <f>Table14[[#This Row],[Equity]]/$F$257</f>
        <v>0.46908282159133813</v>
      </c>
      <c r="E255" t="s">
        <v>12</v>
      </c>
      <c r="F255" s="7">
        <f>Table14[[#This Row],[Value]]</f>
        <v>100000</v>
      </c>
    </row>
    <row r="256" spans="1:6" x14ac:dyDescent="0.35">
      <c r="A256" s="5">
        <v>45504</v>
      </c>
      <c r="B256" s="2" t="s">
        <v>14</v>
      </c>
      <c r="C256" s="7">
        <v>0</v>
      </c>
      <c r="D256" s="4">
        <f>Table14[[#This Row],[Equity]]/$F$257</f>
        <v>0</v>
      </c>
      <c r="E256" t="s">
        <v>6</v>
      </c>
      <c r="F256" s="7">
        <f>Table14[[#This Row],[Value]]</f>
        <v>0</v>
      </c>
    </row>
    <row r="257" spans="1:6" x14ac:dyDescent="0.35">
      <c r="A257" s="5">
        <v>45504</v>
      </c>
      <c r="B257" s="3" t="s">
        <v>15</v>
      </c>
      <c r="C257" s="8">
        <f>SUBTOTAL(109,C250:C256)</f>
        <v>187583.33000000002</v>
      </c>
      <c r="D257" s="6">
        <v>1</v>
      </c>
      <c r="E257" s="1" t="s">
        <v>10</v>
      </c>
      <c r="F257" s="8">
        <f>SUBTOTAL(109,F250:F256)</f>
        <v>213181.97</v>
      </c>
    </row>
    <row r="258" spans="1:6" x14ac:dyDescent="0.35">
      <c r="A258" s="5">
        <v>45535</v>
      </c>
      <c r="B258" s="2" t="s">
        <v>5</v>
      </c>
      <c r="C258" s="7">
        <v>50563.57</v>
      </c>
      <c r="D258" s="4">
        <f>Table14[[#This Row],[Equity]]/$F$265</f>
        <v>0.23374083307346064</v>
      </c>
      <c r="E258" t="s">
        <v>6</v>
      </c>
      <c r="F258" s="7">
        <f>Table14[[#This Row],[Value]]</f>
        <v>50563.57</v>
      </c>
    </row>
    <row r="259" spans="1:6" x14ac:dyDescent="0.35">
      <c r="A259" s="5">
        <v>45535</v>
      </c>
      <c r="B259" s="2" t="s">
        <v>7</v>
      </c>
      <c r="C259" s="7">
        <v>3751.53</v>
      </c>
      <c r="D259" s="4">
        <f>Table14[[#This Row],[Equity]]/$F$265</f>
        <v>1.7342243585650296E-2</v>
      </c>
      <c r="E259" t="s">
        <v>6</v>
      </c>
      <c r="F259" s="7">
        <f>Table14[[#This Row],[Value]]</f>
        <v>3751.53</v>
      </c>
    </row>
    <row r="260" spans="1:6" x14ac:dyDescent="0.35">
      <c r="A260" s="5">
        <v>45535</v>
      </c>
      <c r="B260" s="2" t="s">
        <v>8</v>
      </c>
      <c r="C260" s="7">
        <v>21646.67</v>
      </c>
      <c r="D260" s="4">
        <f>Table14[[#This Row],[Equity]]/$F$265</f>
        <v>0.10006632599451122</v>
      </c>
      <c r="E260" t="s">
        <v>6</v>
      </c>
      <c r="F260" s="7">
        <f>Table14[[#This Row],[Value]]</f>
        <v>21646.67</v>
      </c>
    </row>
    <row r="261" spans="1:6" x14ac:dyDescent="0.35">
      <c r="A261" s="5">
        <v>45535</v>
      </c>
      <c r="B261" s="2" t="s">
        <v>9</v>
      </c>
      <c r="C261" s="7">
        <v>-25598.639999999999</v>
      </c>
      <c r="D261" s="22">
        <v>1</v>
      </c>
      <c r="E261" t="s">
        <v>10</v>
      </c>
      <c r="F261" s="7">
        <v>0</v>
      </c>
    </row>
    <row r="262" spans="1:6" x14ac:dyDescent="0.35">
      <c r="A262" s="5">
        <v>45535</v>
      </c>
      <c r="B262" s="2" t="s">
        <v>11</v>
      </c>
      <c r="C262" s="7">
        <v>29696</v>
      </c>
      <c r="D262" s="4">
        <f>Table14[[#This Row],[Equity]]/$F$265</f>
        <v>0.13727606217182622</v>
      </c>
      <c r="E262" t="s">
        <v>12</v>
      </c>
      <c r="F262" s="7">
        <f>Table14[[#This Row],[Value]]</f>
        <v>29696</v>
      </c>
    </row>
    <row r="263" spans="1:6" x14ac:dyDescent="0.35">
      <c r="A263" s="5">
        <v>45535</v>
      </c>
      <c r="B263" s="2" t="s">
        <v>13</v>
      </c>
      <c r="C263" s="7">
        <v>109821.33</v>
      </c>
      <c r="D263" s="4">
        <f>Table14[[#This Row],[Equity]]/$F$265</f>
        <v>0.50767240452830831</v>
      </c>
      <c r="E263" t="s">
        <v>12</v>
      </c>
      <c r="F263" s="7">
        <f>Table14[[#This Row],[Value]]</f>
        <v>109821.33</v>
      </c>
    </row>
    <row r="264" spans="1:6" x14ac:dyDescent="0.35">
      <c r="A264" s="5">
        <v>45535</v>
      </c>
      <c r="B264" s="2" t="s">
        <v>14</v>
      </c>
      <c r="C264" s="7">
        <v>844.12147199999993</v>
      </c>
      <c r="D264" s="4">
        <f>Table14[[#This Row],[Equity]]/$F$265</f>
        <v>3.9021306462434487E-3</v>
      </c>
      <c r="E264" t="s">
        <v>6</v>
      </c>
      <c r="F264" s="7">
        <f>Table14[[#This Row],[Value]]</f>
        <v>844.12147199999993</v>
      </c>
    </row>
    <row r="265" spans="1:6" x14ac:dyDescent="0.35">
      <c r="A265" s="5">
        <v>45535</v>
      </c>
      <c r="B265" s="3" t="s">
        <v>15</v>
      </c>
      <c r="C265" s="8">
        <f>SUBTOTAL(109,C258:C264)</f>
        <v>190724.58147199999</v>
      </c>
      <c r="D265" s="6">
        <v>1</v>
      </c>
      <c r="E265" s="1" t="s">
        <v>10</v>
      </c>
      <c r="F265" s="8">
        <f>SUBTOTAL(109,F258:F264)</f>
        <v>216323.22147199998</v>
      </c>
    </row>
    <row r="266" spans="1:6" x14ac:dyDescent="0.35">
      <c r="A266" s="5">
        <v>45565</v>
      </c>
      <c r="B266" s="2" t="s">
        <v>5</v>
      </c>
      <c r="C266" s="7">
        <v>52767.13</v>
      </c>
      <c r="D266" s="4">
        <f>Table14[[#This Row],[Equity]]/$F$273</f>
        <v>0.24028071632173245</v>
      </c>
      <c r="E266" t="s">
        <v>6</v>
      </c>
      <c r="F266" s="7">
        <f>Table14[[#This Row],[Value]]</f>
        <v>52767.13</v>
      </c>
    </row>
    <row r="267" spans="1:6" x14ac:dyDescent="0.35">
      <c r="A267" s="5">
        <v>45565</v>
      </c>
      <c r="B267" s="2" t="s">
        <v>7</v>
      </c>
      <c r="C267" s="7">
        <v>3916.16</v>
      </c>
      <c r="D267" s="4">
        <f>Table14[[#This Row],[Equity]]/$F$273</f>
        <v>1.7832649416985834E-2</v>
      </c>
      <c r="E267" t="s">
        <v>6</v>
      </c>
      <c r="F267" s="7">
        <f>Table14[[#This Row],[Value]]</f>
        <v>3916.16</v>
      </c>
    </row>
    <row r="268" spans="1:6" x14ac:dyDescent="0.35">
      <c r="A268" s="5">
        <v>45565</v>
      </c>
      <c r="B268" s="2" t="s">
        <v>8</v>
      </c>
      <c r="C268" s="7">
        <v>22811.87</v>
      </c>
      <c r="D268" s="4">
        <f>Table14[[#This Row],[Equity]]/$F$273</f>
        <v>0.10387626661215493</v>
      </c>
      <c r="E268" t="s">
        <v>6</v>
      </c>
      <c r="F268" s="7">
        <f>Table14[[#This Row],[Value]]</f>
        <v>22811.87</v>
      </c>
    </row>
    <row r="269" spans="1:6" x14ac:dyDescent="0.35">
      <c r="A269" s="5">
        <v>45565</v>
      </c>
      <c r="B269" s="2" t="s">
        <v>9</v>
      </c>
      <c r="C269" s="7">
        <v>-25598.639999999999</v>
      </c>
      <c r="D269" s="22">
        <v>1</v>
      </c>
      <c r="E269" t="s">
        <v>10</v>
      </c>
      <c r="F269" s="7">
        <v>0</v>
      </c>
    </row>
    <row r="270" spans="1:6" x14ac:dyDescent="0.35">
      <c r="A270" s="5">
        <v>45565</v>
      </c>
      <c r="B270" s="2" t="s">
        <v>11</v>
      </c>
      <c r="C270" s="7">
        <v>29817</v>
      </c>
      <c r="D270" s="4">
        <f>Table14[[#This Row],[Equity]]/$F$273</f>
        <v>0.1357748681530547</v>
      </c>
      <c r="E270" t="s">
        <v>12</v>
      </c>
      <c r="F270" s="7">
        <f>Table14[[#This Row],[Value]]</f>
        <v>29817</v>
      </c>
    </row>
    <row r="271" spans="1:6" x14ac:dyDescent="0.35">
      <c r="A271" s="5">
        <v>45565</v>
      </c>
      <c r="B271" s="2" t="s">
        <v>13</v>
      </c>
      <c r="C271" s="7">
        <v>109441.08</v>
      </c>
      <c r="D271" s="4">
        <f>Table14[[#This Row],[Equity]]/$F$273</f>
        <v>0.49835155138102127</v>
      </c>
      <c r="E271" t="s">
        <v>12</v>
      </c>
      <c r="F271" s="7">
        <f>Table14[[#This Row],[Value]]</f>
        <v>109441.08</v>
      </c>
    </row>
    <row r="272" spans="1:6" x14ac:dyDescent="0.35">
      <c r="A272" s="5">
        <v>45565</v>
      </c>
      <c r="B272" s="2" t="s">
        <v>14</v>
      </c>
      <c r="C272" s="7">
        <v>852.93900500000007</v>
      </c>
      <c r="D272" s="4">
        <f>Table14[[#This Row],[Equity]]/$F$273</f>
        <v>3.8839481150508993E-3</v>
      </c>
      <c r="E272" t="s">
        <v>6</v>
      </c>
      <c r="F272" s="7">
        <f>Table14[[#This Row],[Value]]</f>
        <v>852.93900500000007</v>
      </c>
    </row>
    <row r="273" spans="1:6" x14ac:dyDescent="0.35">
      <c r="A273" s="5">
        <v>45565</v>
      </c>
      <c r="B273" s="3" t="s">
        <v>15</v>
      </c>
      <c r="C273" s="8">
        <f>SUBTOTAL(109,C266:C272)</f>
        <v>194007.53900499997</v>
      </c>
      <c r="D273" s="6">
        <v>1</v>
      </c>
      <c r="E273" s="1" t="s">
        <v>10</v>
      </c>
      <c r="F273" s="8">
        <f>SUBTOTAL(109,F266:F272)</f>
        <v>219606.17900499998</v>
      </c>
    </row>
    <row r="274" spans="1:6" x14ac:dyDescent="0.35">
      <c r="A274" s="9">
        <v>45596</v>
      </c>
      <c r="B274" s="10" t="s">
        <v>16</v>
      </c>
      <c r="C274" s="11">
        <v>47191.54</v>
      </c>
      <c r="D274" s="4">
        <f>Table14[[#This Row],[Equity]]/$F$281</f>
        <v>0.21000059718500694</v>
      </c>
      <c r="E274" t="s">
        <v>6</v>
      </c>
      <c r="F274" s="7">
        <f>Table14[[#This Row],[Value]]</f>
        <v>47191.54</v>
      </c>
    </row>
    <row r="275" spans="1:6" x14ac:dyDescent="0.35">
      <c r="A275" s="9">
        <v>45596</v>
      </c>
      <c r="B275" s="10" t="s">
        <v>17</v>
      </c>
      <c r="C275" s="11">
        <v>4090</v>
      </c>
      <c r="D275" s="4">
        <f>Table14[[#This Row],[Equity]]/$F$281</f>
        <v>1.8200347826891818E-2</v>
      </c>
      <c r="E275" t="s">
        <v>6</v>
      </c>
      <c r="F275" s="7">
        <f>Table14[[#This Row],[Value]]</f>
        <v>4090</v>
      </c>
    </row>
    <row r="276" spans="1:6" x14ac:dyDescent="0.35">
      <c r="A276" s="9">
        <v>45596</v>
      </c>
      <c r="B276" s="10" t="s">
        <v>18</v>
      </c>
      <c r="C276" s="11">
        <v>32907.71</v>
      </c>
      <c r="D276" s="4">
        <f>Table14[[#This Row],[Equity]]/$F$281</f>
        <v>0.14643808513117021</v>
      </c>
      <c r="E276" t="s">
        <v>6</v>
      </c>
      <c r="F276" s="7">
        <f>Table14[[#This Row],[Value]]</f>
        <v>32907.71</v>
      </c>
    </row>
    <row r="277" spans="1:6" x14ac:dyDescent="0.35">
      <c r="A277" s="9">
        <v>45596</v>
      </c>
      <c r="B277" s="14" t="s">
        <v>9</v>
      </c>
      <c r="C277" s="15">
        <v>-25598.639999999999</v>
      </c>
      <c r="D277" s="22">
        <v>1</v>
      </c>
      <c r="E277" t="s">
        <v>10</v>
      </c>
      <c r="F277" s="7">
        <v>0</v>
      </c>
    </row>
    <row r="278" spans="1:6" x14ac:dyDescent="0.35">
      <c r="A278" s="9">
        <v>45596</v>
      </c>
      <c r="B278" s="10" t="s">
        <v>19</v>
      </c>
      <c r="C278" s="11">
        <v>29817</v>
      </c>
      <c r="D278" s="4">
        <f>Table14[[#This Row],[Equity]]/$F$281</f>
        <v>0.13268454062455584</v>
      </c>
      <c r="E278" t="s">
        <v>12</v>
      </c>
      <c r="F278" s="7">
        <f>Table14[[#This Row],[Value]]</f>
        <v>29817</v>
      </c>
    </row>
    <row r="279" spans="1:6" x14ac:dyDescent="0.35">
      <c r="A279" s="9">
        <v>45596</v>
      </c>
      <c r="B279" s="10" t="s">
        <v>20</v>
      </c>
      <c r="C279" s="11">
        <v>109186.84</v>
      </c>
      <c r="D279" s="4">
        <f>Table14[[#This Row],[Equity]]/$F$281</f>
        <v>0.48587737557926275</v>
      </c>
      <c r="E279" t="s">
        <v>12</v>
      </c>
      <c r="F279" s="7">
        <f>Table14[[#This Row],[Value]]</f>
        <v>109186.84</v>
      </c>
    </row>
    <row r="280" spans="1:6" x14ac:dyDescent="0.35">
      <c r="A280" s="9">
        <v>45596</v>
      </c>
      <c r="B280" s="10" t="s">
        <v>21</v>
      </c>
      <c r="C280" s="11">
        <v>1527.89</v>
      </c>
      <c r="D280" s="4">
        <f>Table14[[#This Row],[Equity]]/$F$281</f>
        <v>6.7990536531124064E-3</v>
      </c>
      <c r="E280" t="s">
        <v>6</v>
      </c>
      <c r="F280" s="7">
        <f>Table14[[#This Row],[Value]]</f>
        <v>1527.89</v>
      </c>
    </row>
    <row r="281" spans="1:6" x14ac:dyDescent="0.35">
      <c r="A281" s="5">
        <v>45596</v>
      </c>
      <c r="B281" s="12" t="s">
        <v>22</v>
      </c>
      <c r="C281" s="8">
        <f>SUBTOTAL(109,C274:C280)</f>
        <v>199122.34000000003</v>
      </c>
      <c r="D281" s="6">
        <v>1</v>
      </c>
      <c r="E281" s="1" t="s">
        <v>10</v>
      </c>
      <c r="F281" s="8">
        <f>SUBTOTAL(109,F274:F280)</f>
        <v>224720.98</v>
      </c>
    </row>
    <row r="282" spans="1:6" x14ac:dyDescent="0.35">
      <c r="A282" s="9">
        <v>45626</v>
      </c>
      <c r="B282" s="10" t="s">
        <v>16</v>
      </c>
      <c r="C282" s="11">
        <v>46965.99</v>
      </c>
      <c r="D282" s="4">
        <f>Table14[[#This Row],[Equity]]/$F$289</f>
        <v>0.19979927328454788</v>
      </c>
      <c r="E282" t="s">
        <v>6</v>
      </c>
      <c r="F282" s="7">
        <f>Table14[[#This Row],[Value]]</f>
        <v>46965.99</v>
      </c>
    </row>
    <row r="283" spans="1:6" x14ac:dyDescent="0.35">
      <c r="A283" s="9">
        <v>45626</v>
      </c>
      <c r="B283" s="10" t="s">
        <v>17</v>
      </c>
      <c r="C283" s="11">
        <v>5733.23</v>
      </c>
      <c r="D283" s="4">
        <f>Table14[[#This Row],[Equity]]/$F$289</f>
        <v>2.4389886970830773E-2</v>
      </c>
      <c r="E283" t="s">
        <v>6</v>
      </c>
      <c r="F283" s="7">
        <f>Table14[[#This Row],[Value]]</f>
        <v>5733.23</v>
      </c>
    </row>
    <row r="284" spans="1:6" x14ac:dyDescent="0.35">
      <c r="A284" s="9">
        <v>45626</v>
      </c>
      <c r="B284" s="10" t="s">
        <v>18</v>
      </c>
      <c r="C284" s="11">
        <v>33868.67</v>
      </c>
      <c r="D284" s="4">
        <f>Table14[[#This Row],[Equity]]/$F$289</f>
        <v>0.14408161423008795</v>
      </c>
      <c r="E284" t="s">
        <v>6</v>
      </c>
      <c r="F284" s="7">
        <f>Table14[[#This Row],[Value]]</f>
        <v>33868.67</v>
      </c>
    </row>
    <row r="285" spans="1:6" x14ac:dyDescent="0.35">
      <c r="A285" s="9">
        <v>45626</v>
      </c>
      <c r="B285" s="14" t="s">
        <v>9</v>
      </c>
      <c r="C285" s="15">
        <v>-25598.639999999999</v>
      </c>
      <c r="D285" s="22">
        <v>1</v>
      </c>
      <c r="E285" t="s">
        <v>10</v>
      </c>
      <c r="F285" s="7">
        <v>0</v>
      </c>
    </row>
    <row r="286" spans="1:6" x14ac:dyDescent="0.35">
      <c r="A286" s="9">
        <v>45626</v>
      </c>
      <c r="B286" s="10" t="s">
        <v>19</v>
      </c>
      <c r="C286" s="11">
        <v>29817</v>
      </c>
      <c r="D286" s="4">
        <f>Table14[[#This Row],[Equity]]/$F$289</f>
        <v>0.12684529659707725</v>
      </c>
      <c r="E286" t="s">
        <v>12</v>
      </c>
      <c r="F286" s="7">
        <f>Table14[[#This Row],[Value]]</f>
        <v>29817</v>
      </c>
    </row>
    <row r="287" spans="1:6" x14ac:dyDescent="0.35">
      <c r="A287" s="9">
        <v>45626</v>
      </c>
      <c r="B287" s="10" t="s">
        <v>20</v>
      </c>
      <c r="C287" s="11">
        <v>117293.9</v>
      </c>
      <c r="D287" s="4">
        <f>Table14[[#This Row],[Equity]]/$F$289</f>
        <v>0.49898311481798702</v>
      </c>
      <c r="E287" t="s">
        <v>12</v>
      </c>
      <c r="F287" s="7">
        <f>Table14[[#This Row],[Value]]</f>
        <v>117293.9</v>
      </c>
    </row>
    <row r="288" spans="1:6" x14ac:dyDescent="0.35">
      <c r="A288" s="9">
        <v>45626</v>
      </c>
      <c r="B288" s="10" t="s">
        <v>21</v>
      </c>
      <c r="C288" s="11">
        <v>1387.08</v>
      </c>
      <c r="D288" s="4">
        <f>Table14[[#This Row],[Equity]]/$F$289</f>
        <v>5.9008140994692261E-3</v>
      </c>
      <c r="E288" t="s">
        <v>6</v>
      </c>
      <c r="F288" s="7">
        <f>Table14[[#This Row],[Value]]</f>
        <v>1387.08</v>
      </c>
    </row>
    <row r="289" spans="1:6" x14ac:dyDescent="0.35">
      <c r="A289" s="9">
        <v>45626</v>
      </c>
      <c r="B289" s="12" t="s">
        <v>22</v>
      </c>
      <c r="C289" s="8">
        <f>SUBTOTAL(109,C282:C288)</f>
        <v>209467.22999999998</v>
      </c>
      <c r="D289" s="6">
        <v>1</v>
      </c>
      <c r="E289" s="1" t="s">
        <v>10</v>
      </c>
      <c r="F289" s="8">
        <f>SUBTOTAL(109,F282:F288)</f>
        <v>235065.86999999997</v>
      </c>
    </row>
    <row r="290" spans="1:6" x14ac:dyDescent="0.35">
      <c r="A290" s="9">
        <v>45657</v>
      </c>
      <c r="B290" s="10" t="s">
        <v>16</v>
      </c>
      <c r="C290" s="11">
        <v>50428.91</v>
      </c>
      <c r="D290" s="4">
        <f>Table14[[#This Row],[Equity]]/$F$297</f>
        <v>0.21191222823337102</v>
      </c>
      <c r="E290" t="s">
        <v>6</v>
      </c>
      <c r="F290" s="7">
        <f>Table14[[#This Row],[Value]]</f>
        <v>50428.91</v>
      </c>
    </row>
    <row r="291" spans="1:6" x14ac:dyDescent="0.35">
      <c r="A291" s="9">
        <v>45657</v>
      </c>
      <c r="B291" s="10" t="s">
        <v>17</v>
      </c>
      <c r="C291" s="11">
        <v>5595.79</v>
      </c>
      <c r="D291" s="4">
        <f>Table14[[#This Row],[Equity]]/$F$297</f>
        <v>2.3514613495037175E-2</v>
      </c>
      <c r="E291" t="s">
        <v>6</v>
      </c>
      <c r="F291" s="7">
        <f>Table14[[#This Row],[Value]]</f>
        <v>5595.79</v>
      </c>
    </row>
    <row r="292" spans="1:6" x14ac:dyDescent="0.35">
      <c r="A292" s="9">
        <v>45657</v>
      </c>
      <c r="B292" s="10" t="s">
        <v>18</v>
      </c>
      <c r="C292" s="11">
        <v>33884.589999999997</v>
      </c>
      <c r="D292" s="4">
        <f>Table14[[#This Row],[Equity]]/$F$297</f>
        <v>0.14238973179618991</v>
      </c>
      <c r="E292" t="s">
        <v>6</v>
      </c>
      <c r="F292" s="7">
        <f>Table14[[#This Row],[Value]]</f>
        <v>33884.589999999997</v>
      </c>
    </row>
    <row r="293" spans="1:6" x14ac:dyDescent="0.35">
      <c r="A293" s="9">
        <v>45657</v>
      </c>
      <c r="B293" s="14" t="s">
        <v>9</v>
      </c>
      <c r="C293" s="15">
        <v>-25598.639999999999</v>
      </c>
      <c r="D293" s="22">
        <v>1</v>
      </c>
      <c r="E293" t="s">
        <v>10</v>
      </c>
      <c r="F293" s="7">
        <v>0</v>
      </c>
    </row>
    <row r="294" spans="1:6" x14ac:dyDescent="0.35">
      <c r="A294" s="9">
        <v>45657</v>
      </c>
      <c r="B294" s="10" t="s">
        <v>19</v>
      </c>
      <c r="C294" s="11">
        <v>30159.66</v>
      </c>
      <c r="D294" s="4">
        <f>Table14[[#This Row],[Equity]]/$F$297</f>
        <v>0.12673684109691979</v>
      </c>
      <c r="E294" t="s">
        <v>12</v>
      </c>
      <c r="F294" s="7">
        <f>Table14[[#This Row],[Value]]</f>
        <v>30159.66</v>
      </c>
    </row>
    <row r="295" spans="1:6" x14ac:dyDescent="0.35">
      <c r="A295" s="9">
        <v>45657</v>
      </c>
      <c r="B295" s="10" t="s">
        <v>20</v>
      </c>
      <c r="C295" s="11">
        <v>116435.08</v>
      </c>
      <c r="D295" s="4">
        <f>Table14[[#This Row],[Equity]]/$F$297</f>
        <v>0.48928317600619986</v>
      </c>
      <c r="E295" t="s">
        <v>12</v>
      </c>
      <c r="F295" s="7">
        <f>Table14[[#This Row],[Value]]</f>
        <v>116435.08</v>
      </c>
    </row>
    <row r="296" spans="1:6" x14ac:dyDescent="0.35">
      <c r="A296" s="9">
        <v>45657</v>
      </c>
      <c r="B296" s="10" t="s">
        <v>21</v>
      </c>
      <c r="C296" s="11">
        <v>1466.711096</v>
      </c>
      <c r="D296" s="4">
        <f>Table14[[#This Row],[Equity]]/$F$297</f>
        <v>6.1634093722820844E-3</v>
      </c>
      <c r="E296" t="s">
        <v>6</v>
      </c>
      <c r="F296" s="7">
        <f>Table14[[#This Row],[Value]]</f>
        <v>1466.711096</v>
      </c>
    </row>
    <row r="297" spans="1:6" x14ac:dyDescent="0.35">
      <c r="A297" s="9">
        <v>45657</v>
      </c>
      <c r="B297" s="12" t="s">
        <v>22</v>
      </c>
      <c r="C297" s="8">
        <f>SUBTOTAL(109,C290:C296)</f>
        <v>212372.10109600003</v>
      </c>
      <c r="D297" s="6">
        <v>1</v>
      </c>
      <c r="E297" s="1" t="s">
        <v>10</v>
      </c>
      <c r="F297" s="8">
        <f>SUBTOTAL(109,F290:F296)</f>
        <v>237970.74109600004</v>
      </c>
    </row>
    <row r="298" spans="1:6" x14ac:dyDescent="0.35">
      <c r="A298" s="9">
        <v>45688</v>
      </c>
      <c r="B298" s="10" t="s">
        <v>16</v>
      </c>
      <c r="C298" s="11">
        <f>22897.64 - 142.04</f>
        <v>22755.599999999999</v>
      </c>
      <c r="D298" s="4">
        <f>Table14[[#This Row],[Equity]]/$F$305</f>
        <v>9.1994402953812782E-2</v>
      </c>
      <c r="E298" t="s">
        <v>6</v>
      </c>
      <c r="F298" s="7">
        <f>Table14[[#This Row],[Value]]</f>
        <v>22755.599999999999</v>
      </c>
    </row>
    <row r="299" spans="1:6" x14ac:dyDescent="0.35">
      <c r="A299" s="9">
        <v>45688</v>
      </c>
      <c r="B299" s="10" t="s">
        <v>17</v>
      </c>
      <c r="C299" s="11">
        <v>5645.72</v>
      </c>
      <c r="D299" s="4">
        <f>Table14[[#This Row],[Equity]]/$F$305</f>
        <v>2.2824036309497441E-2</v>
      </c>
      <c r="E299" t="s">
        <v>6</v>
      </c>
      <c r="F299" s="7">
        <f>Table14[[#This Row],[Value]]</f>
        <v>5645.72</v>
      </c>
    </row>
    <row r="300" spans="1:6" x14ac:dyDescent="0.35">
      <c r="A300" s="9">
        <v>45688</v>
      </c>
      <c r="B300" s="10" t="s">
        <v>18</v>
      </c>
      <c r="C300" s="11">
        <v>55620.77</v>
      </c>
      <c r="D300" s="4">
        <f>Table14[[#This Row],[Equity]]/$F$305</f>
        <v>0.22485891507942402</v>
      </c>
      <c r="E300" t="s">
        <v>6</v>
      </c>
      <c r="F300" s="7">
        <f>Table14[[#This Row],[Value]]</f>
        <v>55620.77</v>
      </c>
    </row>
    <row r="301" spans="1:6" x14ac:dyDescent="0.35">
      <c r="A301" s="9">
        <v>45688</v>
      </c>
      <c r="B301" s="14" t="s">
        <v>9</v>
      </c>
      <c r="C301" s="15">
        <v>-25598.639999999999</v>
      </c>
      <c r="D301" s="4">
        <v>1</v>
      </c>
      <c r="E301" t="s">
        <v>10</v>
      </c>
      <c r="F301" s="7">
        <v>0</v>
      </c>
    </row>
    <row r="302" spans="1:6" x14ac:dyDescent="0.35">
      <c r="A302" s="9">
        <v>45688</v>
      </c>
      <c r="B302" s="10" t="s">
        <v>19</v>
      </c>
      <c r="C302" s="11">
        <v>30159.66</v>
      </c>
      <c r="D302" s="4">
        <f>Table14[[#This Row],[Equity]]/$F$305</f>
        <v>0.12192690656321913</v>
      </c>
      <c r="E302" t="s">
        <v>12</v>
      </c>
      <c r="F302" s="7">
        <f>Table14[[#This Row],[Value]]</f>
        <v>30159.66</v>
      </c>
    </row>
    <row r="303" spans="1:6" x14ac:dyDescent="0.35">
      <c r="A303" s="9">
        <v>45688</v>
      </c>
      <c r="B303" s="10" t="s">
        <v>20</v>
      </c>
      <c r="C303" s="11">
        <f>121693.89+10000</f>
        <v>131693.89000000001</v>
      </c>
      <c r="D303" s="4">
        <f>Table14[[#This Row],[Equity]]/$F$305</f>
        <v>0.53240085004197191</v>
      </c>
      <c r="E303" t="s">
        <v>12</v>
      </c>
      <c r="F303" s="7">
        <f>Table14[[#This Row],[Value]]</f>
        <v>131693.89000000001</v>
      </c>
    </row>
    <row r="304" spans="1:6" x14ac:dyDescent="0.35">
      <c r="A304" s="9">
        <v>45688</v>
      </c>
      <c r="B304" s="10" t="s">
        <v>21</v>
      </c>
      <c r="C304" s="11">
        <v>1482.886925</v>
      </c>
      <c r="D304" s="4">
        <f>Table14[[#This Row],[Equity]]/$F$305</f>
        <v>5.9948890520746699E-3</v>
      </c>
      <c r="E304" t="s">
        <v>6</v>
      </c>
      <c r="F304" s="7">
        <f>Table14[[#This Row],[Value]]</f>
        <v>1482.886925</v>
      </c>
    </row>
    <row r="305" spans="1:6" x14ac:dyDescent="0.35">
      <c r="A305" s="9">
        <v>45688</v>
      </c>
      <c r="B305" s="12" t="s">
        <v>22</v>
      </c>
      <c r="C305" s="8">
        <f>SUBTOTAL(109,C298:C304)</f>
        <v>221759.886925</v>
      </c>
      <c r="D305" s="23">
        <v>1</v>
      </c>
      <c r="E305" s="1" t="s">
        <v>10</v>
      </c>
      <c r="F305" s="8">
        <f>SUBTOTAL(109,F298:F304)</f>
        <v>247358.52692500001</v>
      </c>
    </row>
    <row r="306" spans="1:6" x14ac:dyDescent="0.35">
      <c r="A306" s="9">
        <v>45716</v>
      </c>
      <c r="B306" s="10" t="s">
        <v>16</v>
      </c>
      <c r="C306" s="11">
        <f>23755.3 - 7.08</f>
        <v>23748.219999999998</v>
      </c>
      <c r="D306" s="4">
        <f>Table14[[#This Row],[Equity]]/$F$313</f>
        <v>9.7467624805072609E-2</v>
      </c>
      <c r="E306" t="s">
        <v>6</v>
      </c>
      <c r="F306" s="7">
        <f>Table14[[#This Row],[Value]]</f>
        <v>23748.219999999998</v>
      </c>
    </row>
    <row r="307" spans="1:6" x14ac:dyDescent="0.35">
      <c r="A307" s="9">
        <v>45716</v>
      </c>
      <c r="B307" s="10" t="s">
        <v>17</v>
      </c>
      <c r="C307" s="11">
        <v>4138.83</v>
      </c>
      <c r="D307" s="4">
        <f>Table14[[#This Row],[Equity]]/$F$313</f>
        <v>1.698661750531108E-2</v>
      </c>
      <c r="E307" t="s">
        <v>6</v>
      </c>
      <c r="F307" s="7">
        <f>Table14[[#This Row],[Value]]</f>
        <v>4138.83</v>
      </c>
    </row>
    <row r="308" spans="1:6" x14ac:dyDescent="0.35">
      <c r="A308" s="9">
        <v>45716</v>
      </c>
      <c r="B308" s="10" t="s">
        <v>18</v>
      </c>
      <c r="C308" s="11">
        <v>55014.1</v>
      </c>
      <c r="D308" s="4">
        <f>Table14[[#This Row],[Equity]]/$F$313</f>
        <v>0.22578928685134067</v>
      </c>
      <c r="E308" t="s">
        <v>6</v>
      </c>
      <c r="F308" s="7">
        <f>Table14[[#This Row],[Value]]</f>
        <v>55014.1</v>
      </c>
    </row>
    <row r="309" spans="1:6" x14ac:dyDescent="0.35">
      <c r="A309" s="9">
        <v>45716</v>
      </c>
      <c r="B309" s="14" t="s">
        <v>9</v>
      </c>
      <c r="C309" s="15">
        <v>-25598.639999999999</v>
      </c>
      <c r="D309" s="4">
        <v>1</v>
      </c>
      <c r="E309" t="s">
        <v>10</v>
      </c>
      <c r="F309" s="7">
        <v>0</v>
      </c>
    </row>
    <row r="310" spans="1:6" x14ac:dyDescent="0.35">
      <c r="A310" s="9">
        <v>45716</v>
      </c>
      <c r="B310" s="10" t="s">
        <v>19</v>
      </c>
      <c r="C310" s="11">
        <v>30159.66</v>
      </c>
      <c r="D310" s="4">
        <f>Table14[[#This Row],[Equity]]/$F$313</f>
        <v>0.1237815055245638</v>
      </c>
      <c r="E310" t="s">
        <v>12</v>
      </c>
      <c r="F310" s="7">
        <f>Table14[[#This Row],[Value]]</f>
        <v>30159.66</v>
      </c>
    </row>
    <row r="311" spans="1:6" x14ac:dyDescent="0.35">
      <c r="A311" s="9">
        <v>45716</v>
      </c>
      <c r="B311" s="10" t="s">
        <v>20</v>
      </c>
      <c r="C311" s="11">
        <v>129109.79</v>
      </c>
      <c r="D311" s="4">
        <f>Table14[[#This Row],[Equity]]/$F$313</f>
        <v>0.52989338023572785</v>
      </c>
      <c r="E311" t="s">
        <v>12</v>
      </c>
      <c r="F311" s="7">
        <f>Table14[[#This Row],[Value]]</f>
        <v>129109.79</v>
      </c>
    </row>
    <row r="312" spans="1:6" x14ac:dyDescent="0.35">
      <c r="A312" s="9">
        <v>45716</v>
      </c>
      <c r="B312" s="10" t="s">
        <v>21</v>
      </c>
      <c r="C312" s="11">
        <v>1481.7927560000001</v>
      </c>
      <c r="D312" s="4">
        <f>Table14[[#This Row],[Equity]]/$F$313</f>
        <v>6.0815850779840563E-3</v>
      </c>
      <c r="E312" t="s">
        <v>6</v>
      </c>
      <c r="F312" s="7">
        <f>Table14[[#This Row],[Value]]</f>
        <v>1481.7927560000001</v>
      </c>
    </row>
    <row r="313" spans="1:6" x14ac:dyDescent="0.35">
      <c r="A313" s="9">
        <v>45716</v>
      </c>
      <c r="B313" s="12" t="s">
        <v>22</v>
      </c>
      <c r="C313" s="8">
        <f>SUBTOTAL(109,C306:C312)</f>
        <v>218053.752756</v>
      </c>
      <c r="D313" s="23">
        <v>1</v>
      </c>
      <c r="E313" s="1" t="s">
        <v>10</v>
      </c>
      <c r="F313" s="8">
        <f>SUBTOTAL(109,F306:F312)</f>
        <v>243652.39275599999</v>
      </c>
    </row>
    <row r="314" spans="1:6" x14ac:dyDescent="0.35">
      <c r="A314" s="9">
        <v>45747</v>
      </c>
      <c r="B314" s="10" t="s">
        <v>16</v>
      </c>
      <c r="C314" s="11">
        <f>26074.86 - 207.47</f>
        <v>25867.39</v>
      </c>
      <c r="D314" s="4">
        <f>Table14[[#This Row],[Equity]]/$F$321</f>
        <v>0.11191844986941224</v>
      </c>
      <c r="E314" t="s">
        <v>6</v>
      </c>
      <c r="F314" s="7">
        <f>Table14[[#This Row],[Value]]</f>
        <v>25867.39</v>
      </c>
    </row>
    <row r="315" spans="1:6" x14ac:dyDescent="0.35">
      <c r="A315" s="9">
        <v>45747</v>
      </c>
      <c r="B315" s="10" t="s">
        <v>17</v>
      </c>
      <c r="C315" s="11">
        <v>3677.17</v>
      </c>
      <c r="D315" s="4">
        <f>Table14[[#This Row],[Equity]]/$F$321</f>
        <v>1.5909729056789518E-2</v>
      </c>
      <c r="E315" t="s">
        <v>6</v>
      </c>
      <c r="F315" s="7">
        <f>Table14[[#This Row],[Value]]</f>
        <v>3677.17</v>
      </c>
    </row>
    <row r="316" spans="1:6" x14ac:dyDescent="0.35">
      <c r="A316" s="9">
        <v>45747</v>
      </c>
      <c r="B316" s="10" t="s">
        <v>18</v>
      </c>
      <c r="C316" s="11">
        <v>52639.519999999997</v>
      </c>
      <c r="D316" s="4">
        <f>Table14[[#This Row],[Equity]]/$F$321</f>
        <v>0.22775136881880709</v>
      </c>
      <c r="E316" t="s">
        <v>6</v>
      </c>
      <c r="F316" s="7">
        <f>Table14[[#This Row],[Value]]</f>
        <v>52639.519999999997</v>
      </c>
    </row>
    <row r="317" spans="1:6" x14ac:dyDescent="0.35">
      <c r="A317" s="9">
        <v>45747</v>
      </c>
      <c r="B317" s="14" t="s">
        <v>9</v>
      </c>
      <c r="C317" s="15">
        <v>-25598.639999999999</v>
      </c>
      <c r="D317" s="4">
        <v>1</v>
      </c>
      <c r="E317" t="s">
        <v>10</v>
      </c>
      <c r="F317" s="7">
        <v>0</v>
      </c>
    </row>
    <row r="318" spans="1:6" x14ac:dyDescent="0.35">
      <c r="A318" s="9">
        <v>45747</v>
      </c>
      <c r="B318" s="10" t="s">
        <v>19</v>
      </c>
      <c r="C318" s="11">
        <v>29315.09</v>
      </c>
      <c r="D318" s="4">
        <f>Table14[[#This Row],[Equity]]/$F$321</f>
        <v>0.12683534869897226</v>
      </c>
      <c r="E318" t="s">
        <v>12</v>
      </c>
      <c r="F318" s="7">
        <f>Table14[[#This Row],[Value]]</f>
        <v>29315.09</v>
      </c>
    </row>
    <row r="319" spans="1:6" x14ac:dyDescent="0.35">
      <c r="A319" s="9">
        <v>45747</v>
      </c>
      <c r="B319" s="10" t="s">
        <v>20</v>
      </c>
      <c r="C319" s="11">
        <v>118201.53</v>
      </c>
      <c r="D319" s="4">
        <f>Table14[[#This Row],[Equity]]/$F$321</f>
        <v>0.51141348275928988</v>
      </c>
      <c r="E319" t="s">
        <v>12</v>
      </c>
      <c r="F319" s="7">
        <f>Table14[[#This Row],[Value]]</f>
        <v>118201.53</v>
      </c>
    </row>
    <row r="320" spans="1:6" x14ac:dyDescent="0.35">
      <c r="A320" s="9">
        <v>45747</v>
      </c>
      <c r="B320" s="10" t="s">
        <v>21</v>
      </c>
      <c r="C320" s="11">
        <v>1426.4289960000001</v>
      </c>
      <c r="D320" s="4">
        <f>Table14[[#This Row],[Equity]]/$F$321</f>
        <v>6.1716207967290881E-3</v>
      </c>
      <c r="E320" t="s">
        <v>6</v>
      </c>
      <c r="F320" s="7">
        <f>Table14[[#This Row],[Value]]</f>
        <v>1426.4289960000001</v>
      </c>
    </row>
    <row r="321" spans="1:6" x14ac:dyDescent="0.35">
      <c r="A321" s="9">
        <v>45747</v>
      </c>
      <c r="B321" s="12" t="s">
        <v>22</v>
      </c>
      <c r="C321" s="8">
        <f>SUBTOTAL(109,C314:C320)</f>
        <v>205528.488996</v>
      </c>
      <c r="D321" s="23">
        <v>1</v>
      </c>
      <c r="E321" s="1" t="s">
        <v>10</v>
      </c>
      <c r="F321" s="8">
        <f>SUBTOTAL(109,F314:F320)</f>
        <v>231127.12899599998</v>
      </c>
    </row>
    <row r="322" spans="1:6" x14ac:dyDescent="0.35">
      <c r="A322" s="9">
        <v>45777</v>
      </c>
      <c r="B322" s="10" t="s">
        <v>16</v>
      </c>
      <c r="C322" s="11">
        <f>15139.34 - 1431.19</f>
        <v>13708.15</v>
      </c>
      <c r="D322" s="4">
        <f>Table14[[#This Row],[Equity]]/$F$329</f>
        <v>6.0157343105793286E-2</v>
      </c>
      <c r="E322" t="s">
        <v>6</v>
      </c>
      <c r="F322" s="7">
        <f>Table14[[#This Row],[Value]]</f>
        <v>13708.15</v>
      </c>
    </row>
    <row r="323" spans="1:6" x14ac:dyDescent="0.35">
      <c r="A323" s="9">
        <v>45777</v>
      </c>
      <c r="B323" s="10" t="s">
        <v>17</v>
      </c>
      <c r="C323" s="11">
        <v>3834.84</v>
      </c>
      <c r="D323" s="4">
        <f>Table14[[#This Row],[Equity]]/$F$329</f>
        <v>1.6828951071867489E-2</v>
      </c>
      <c r="E323" t="s">
        <v>6</v>
      </c>
      <c r="F323" s="7">
        <f>Table14[[#This Row],[Value]]</f>
        <v>3834.84</v>
      </c>
    </row>
    <row r="324" spans="1:6" x14ac:dyDescent="0.35">
      <c r="A324" s="9">
        <v>45777</v>
      </c>
      <c r="B324" s="10" t="s">
        <v>18</v>
      </c>
      <c r="C324" s="11">
        <v>64665.120000000003</v>
      </c>
      <c r="D324" s="4">
        <f>Table14[[#This Row],[Equity]]/$F$329</f>
        <v>0.28377876014030307</v>
      </c>
      <c r="E324" t="s">
        <v>6</v>
      </c>
      <c r="F324" s="7">
        <f>Table14[[#This Row],[Value]]</f>
        <v>64665.120000000003</v>
      </c>
    </row>
    <row r="325" spans="1:6" x14ac:dyDescent="0.35">
      <c r="A325" s="9">
        <v>45777</v>
      </c>
      <c r="B325" s="14" t="s">
        <v>9</v>
      </c>
      <c r="C325" s="15">
        <v>-25598.639999999999</v>
      </c>
      <c r="D325" s="4">
        <v>1</v>
      </c>
      <c r="E325" t="s">
        <v>10</v>
      </c>
      <c r="F325" s="7">
        <v>0</v>
      </c>
    </row>
    <row r="326" spans="1:6" x14ac:dyDescent="0.35">
      <c r="A326" s="9">
        <v>45777</v>
      </c>
      <c r="B326" s="10" t="s">
        <v>19</v>
      </c>
      <c r="C326" s="11">
        <v>29315.09</v>
      </c>
      <c r="D326" s="4">
        <f>Table14[[#This Row],[Equity]]/$F$329</f>
        <v>0.12864740517919704</v>
      </c>
      <c r="E326" t="s">
        <v>12</v>
      </c>
      <c r="F326" s="7">
        <f>Table14[[#This Row],[Value]]</f>
        <v>29315.09</v>
      </c>
    </row>
    <row r="327" spans="1:6" x14ac:dyDescent="0.35">
      <c r="A327" s="9">
        <v>45777</v>
      </c>
      <c r="B327" s="10" t="s">
        <v>20</v>
      </c>
      <c r="C327" s="11">
        <v>114908.98</v>
      </c>
      <c r="D327" s="4">
        <f>Table14[[#This Row],[Equity]]/$F$329</f>
        <v>0.50427073936284172</v>
      </c>
      <c r="E327" t="s">
        <v>12</v>
      </c>
      <c r="F327" s="7">
        <f>Table14[[#This Row],[Value]]</f>
        <v>114908.98</v>
      </c>
    </row>
    <row r="328" spans="1:6" x14ac:dyDescent="0.35">
      <c r="A328" s="9">
        <v>45777</v>
      </c>
      <c r="B328" s="10" t="s">
        <v>21</v>
      </c>
      <c r="C328" s="11">
        <v>1439.4195800000002</v>
      </c>
      <c r="D328" s="4">
        <f>Table14[[#This Row],[Equity]]/$F$329</f>
        <v>6.3168011399975113E-3</v>
      </c>
      <c r="E328" t="s">
        <v>6</v>
      </c>
      <c r="F328" s="7">
        <f>Table14[[#This Row],[Value]]</f>
        <v>1439.4195800000002</v>
      </c>
    </row>
    <row r="329" spans="1:6" x14ac:dyDescent="0.35">
      <c r="A329" s="9">
        <v>45777</v>
      </c>
      <c r="B329" s="12" t="s">
        <v>22</v>
      </c>
      <c r="C329" s="8">
        <f>SUBTOTAL(109,C322:C328)</f>
        <v>202272.95957999997</v>
      </c>
      <c r="D329" s="23">
        <v>1</v>
      </c>
      <c r="E329" s="1" t="s">
        <v>10</v>
      </c>
      <c r="F329" s="8">
        <f>SUBTOTAL(109,F322:F328)</f>
        <v>227871.59957999998</v>
      </c>
    </row>
    <row r="330" spans="1:6" x14ac:dyDescent="0.35">
      <c r="A330" s="9">
        <v>45808</v>
      </c>
      <c r="B330" s="10" t="s">
        <v>16</v>
      </c>
      <c r="C330" s="11">
        <f>842.84 + 12250 - 91.79</f>
        <v>13001.05</v>
      </c>
      <c r="D330" s="4">
        <f>Table14[[#This Row],[Equity]]/$F$337</f>
        <v>5.4876422676015904E-2</v>
      </c>
      <c r="E330" t="s">
        <v>6</v>
      </c>
      <c r="F330" s="7">
        <f>Table14[[#This Row],[Value]]</f>
        <v>13001.05</v>
      </c>
    </row>
    <row r="331" spans="1:6" x14ac:dyDescent="0.35">
      <c r="A331" s="9">
        <v>45808</v>
      </c>
      <c r="B331" s="10" t="s">
        <v>17</v>
      </c>
      <c r="C331" s="11">
        <v>4055.45</v>
      </c>
      <c r="D331" s="4">
        <f>Table14[[#This Row],[Equity]]/$F$337</f>
        <v>1.7117739593451968E-2</v>
      </c>
      <c r="E331" t="s">
        <v>6</v>
      </c>
      <c r="F331" s="7">
        <f>Table14[[#This Row],[Value]]</f>
        <v>4055.45</v>
      </c>
    </row>
    <row r="332" spans="1:6" x14ac:dyDescent="0.35">
      <c r="A332" s="9">
        <v>45808</v>
      </c>
      <c r="B332" s="10" t="s">
        <v>18</v>
      </c>
      <c r="C332" s="11">
        <f>64131.96 + 5245.16</f>
        <v>69377.119999999995</v>
      </c>
      <c r="D332" s="4">
        <f>Table14[[#This Row],[Equity]]/$F$337</f>
        <v>0.29283543722735289</v>
      </c>
      <c r="E332" t="s">
        <v>6</v>
      </c>
      <c r="F332" s="7">
        <f>Table14[[#This Row],[Value]]</f>
        <v>69377.119999999995</v>
      </c>
    </row>
    <row r="333" spans="1:6" x14ac:dyDescent="0.35">
      <c r="A333" s="9">
        <v>45808</v>
      </c>
      <c r="B333" s="14" t="s">
        <v>9</v>
      </c>
      <c r="C333" s="15">
        <v>-25598.639999999999</v>
      </c>
      <c r="D333" s="4">
        <v>1</v>
      </c>
      <c r="E333" t="s">
        <v>10</v>
      </c>
      <c r="F333" s="7">
        <v>0</v>
      </c>
    </row>
    <row r="334" spans="1:6" x14ac:dyDescent="0.35">
      <c r="A334" s="9">
        <v>45808</v>
      </c>
      <c r="B334" s="10" t="s">
        <v>19</v>
      </c>
      <c r="C334" s="11">
        <v>29315.09</v>
      </c>
      <c r="D334" s="4">
        <f>Table14[[#This Row],[Equity]]/$F$337</f>
        <v>0.12373671892850556</v>
      </c>
      <c r="E334" t="s">
        <v>12</v>
      </c>
      <c r="F334" s="7">
        <f>Table14[[#This Row],[Value]]</f>
        <v>29315.09</v>
      </c>
    </row>
    <row r="335" spans="1:6" x14ac:dyDescent="0.35">
      <c r="A335" s="9">
        <v>45808</v>
      </c>
      <c r="B335" s="10" t="s">
        <v>20</v>
      </c>
      <c r="C335" s="11">
        <v>119712.99</v>
      </c>
      <c r="D335" s="4">
        <f>Table14[[#This Row],[Equity]]/$F$337</f>
        <v>0.50529923652702402</v>
      </c>
      <c r="E335" t="s">
        <v>12</v>
      </c>
      <c r="F335" s="7">
        <f>Table14[[#This Row],[Value]]</f>
        <v>119712.99</v>
      </c>
    </row>
    <row r="336" spans="1:6" x14ac:dyDescent="0.35">
      <c r="A336" s="9">
        <v>45808</v>
      </c>
      <c r="B336" s="10" t="s">
        <v>21</v>
      </c>
      <c r="C336" s="11">
        <v>1453.342308</v>
      </c>
      <c r="D336" s="4">
        <f>Table14[[#This Row],[Equity]]/$F$337</f>
        <v>6.134445047649574E-3</v>
      </c>
      <c r="E336" t="s">
        <v>6</v>
      </c>
      <c r="F336" s="7">
        <f>Table14[[#This Row],[Value]]</f>
        <v>1453.342308</v>
      </c>
    </row>
    <row r="337" spans="1:6" x14ac:dyDescent="0.35">
      <c r="A337" s="9">
        <v>45808</v>
      </c>
      <c r="B337" s="12" t="s">
        <v>22</v>
      </c>
      <c r="C337" s="8">
        <f>SUBTOTAL(109,C330:C336)</f>
        <v>211316.40230799999</v>
      </c>
      <c r="D337" s="23">
        <v>1</v>
      </c>
      <c r="E337" s="1" t="s">
        <v>10</v>
      </c>
      <c r="F337" s="8">
        <f>SUBTOTAL(109,F330:F336)</f>
        <v>236915.042308</v>
      </c>
    </row>
    <row r="338" spans="1:6" x14ac:dyDescent="0.35">
      <c r="A338" s="9">
        <v>45838</v>
      </c>
      <c r="B338" s="10" t="s">
        <v>16</v>
      </c>
      <c r="C338" s="11">
        <f>1715.32 + 12250 - 0</f>
        <v>13965.32</v>
      </c>
      <c r="D338" s="4">
        <f>Table14[[#This Row],[Equity]]/$F$345</f>
        <v>5.723566387306854E-2</v>
      </c>
      <c r="E338" t="s">
        <v>6</v>
      </c>
      <c r="F338" s="7">
        <f>Table14[[#This Row],[Value]]</f>
        <v>13965.32</v>
      </c>
    </row>
    <row r="339" spans="1:6" x14ac:dyDescent="0.35">
      <c r="A339" s="9">
        <v>45838</v>
      </c>
      <c r="B339" s="10" t="s">
        <v>17</v>
      </c>
      <c r="C339" s="11">
        <v>3726.71</v>
      </c>
      <c r="D339" s="4">
        <f>Table14[[#This Row],[Equity]]/$F$345</f>
        <v>1.5273600670260564E-2</v>
      </c>
      <c r="E339" t="s">
        <v>6</v>
      </c>
      <c r="F339" s="7">
        <f>Table14[[#This Row],[Value]]</f>
        <v>3726.71</v>
      </c>
    </row>
    <row r="340" spans="1:6" x14ac:dyDescent="0.35">
      <c r="A340" s="9">
        <v>45838</v>
      </c>
      <c r="B340" s="10" t="s">
        <v>18</v>
      </c>
      <c r="C340" s="11">
        <f>67798.47 + 4159.66</f>
        <v>71958.13</v>
      </c>
      <c r="D340" s="4">
        <f>Table14[[#This Row],[Equity]]/$F$345</f>
        <v>0.29491421189164085</v>
      </c>
      <c r="E340" t="s">
        <v>6</v>
      </c>
      <c r="F340" s="7">
        <f>Table14[[#This Row],[Value]]</f>
        <v>71958.13</v>
      </c>
    </row>
    <row r="341" spans="1:6" x14ac:dyDescent="0.35">
      <c r="A341" s="9">
        <v>45838</v>
      </c>
      <c r="B341" s="14" t="s">
        <v>9</v>
      </c>
      <c r="C341" s="15">
        <v>-25598.639999999999</v>
      </c>
      <c r="D341" s="4">
        <v>1</v>
      </c>
      <c r="E341" t="s">
        <v>10</v>
      </c>
      <c r="F341" s="7">
        <v>0</v>
      </c>
    </row>
    <row r="342" spans="1:6" x14ac:dyDescent="0.35">
      <c r="A342" s="9">
        <v>45838</v>
      </c>
      <c r="B342" s="10" t="s">
        <v>19</v>
      </c>
      <c r="C342" s="11">
        <v>32547.97</v>
      </c>
      <c r="D342" s="4">
        <f>Table14[[#This Row],[Equity]]/$F$345</f>
        <v>0.13339505794859829</v>
      </c>
      <c r="E342" t="s">
        <v>12</v>
      </c>
      <c r="F342" s="7">
        <f>Table14[[#This Row],[Value]]</f>
        <v>32547.97</v>
      </c>
    </row>
    <row r="343" spans="1:6" x14ac:dyDescent="0.35">
      <c r="A343" s="9">
        <v>45838</v>
      </c>
      <c r="B343" s="10" t="s">
        <v>20</v>
      </c>
      <c r="C343" s="11">
        <v>120334</v>
      </c>
      <c r="D343" s="4">
        <f>Table14[[#This Row],[Equity]]/$F$345</f>
        <v>0.49317855777753966</v>
      </c>
      <c r="E343" t="s">
        <v>12</v>
      </c>
      <c r="F343" s="7">
        <f>Table14[[#This Row],[Value]]</f>
        <v>120334</v>
      </c>
    </row>
    <row r="344" spans="1:6" x14ac:dyDescent="0.35">
      <c r="A344" s="9">
        <v>45838</v>
      </c>
      <c r="B344" s="10" t="s">
        <v>21</v>
      </c>
      <c r="C344" s="11">
        <v>1464.6904260000001</v>
      </c>
      <c r="D344" s="4">
        <f>Table14[[#This Row],[Equity]]/$F$345</f>
        <v>6.0029078388921684E-3</v>
      </c>
      <c r="E344" t="s">
        <v>6</v>
      </c>
      <c r="F344" s="7">
        <f>Table14[[#This Row],[Value]]</f>
        <v>1464.6904260000001</v>
      </c>
    </row>
    <row r="345" spans="1:6" x14ac:dyDescent="0.35">
      <c r="A345" s="9">
        <v>45838</v>
      </c>
      <c r="B345" s="12" t="s">
        <v>22</v>
      </c>
      <c r="C345" s="8">
        <f>SUBTOTAL(109,C338:C344)</f>
        <v>218398.18042599998</v>
      </c>
      <c r="D345" s="23">
        <v>1</v>
      </c>
      <c r="E345" s="1" t="s">
        <v>10</v>
      </c>
      <c r="F345" s="8">
        <f>SUBTOTAL(109,F338:F344)</f>
        <v>243996.82042599999</v>
      </c>
    </row>
    <row r="346" spans="1:6" x14ac:dyDescent="0.35">
      <c r="A346" s="9">
        <v>45869</v>
      </c>
      <c r="B346" s="10" t="s">
        <v>16</v>
      </c>
      <c r="C346" s="11">
        <f>1427.94 + 12000 - 0</f>
        <v>13427.94</v>
      </c>
      <c r="D346" s="4">
        <f>Table14[[#This Row],[Equity]]/$F$353</f>
        <v>5.2990134384743169E-2</v>
      </c>
      <c r="E346" t="s">
        <v>6</v>
      </c>
      <c r="F346" s="7">
        <f>Table14[[#This Row],[Value]]</f>
        <v>13427.94</v>
      </c>
    </row>
    <row r="347" spans="1:6" x14ac:dyDescent="0.35">
      <c r="A347" s="9">
        <v>45869</v>
      </c>
      <c r="B347" s="10" t="s">
        <v>17</v>
      </c>
      <c r="C347" s="11">
        <v>4347.25</v>
      </c>
      <c r="D347" s="4">
        <f>Table14[[#This Row],[Equity]]/$F$353</f>
        <v>1.7155376156288659E-2</v>
      </c>
      <c r="E347" t="s">
        <v>6</v>
      </c>
      <c r="F347" s="7">
        <f>Table14[[#This Row],[Value]]</f>
        <v>4347.25</v>
      </c>
    </row>
    <row r="348" spans="1:6" x14ac:dyDescent="0.35">
      <c r="A348" s="9">
        <v>45869</v>
      </c>
      <c r="B348" s="10" t="s">
        <v>18</v>
      </c>
      <c r="C348" s="11">
        <f>72615.33 + 5138.11</f>
        <v>77753.440000000002</v>
      </c>
      <c r="D348" s="4">
        <f>Table14[[#This Row],[Equity]]/$F$353</f>
        <v>0.30683524311815996</v>
      </c>
      <c r="E348" t="s">
        <v>6</v>
      </c>
      <c r="F348" s="7">
        <f>Table14[[#This Row],[Value]]</f>
        <v>77753.440000000002</v>
      </c>
    </row>
    <row r="349" spans="1:6" x14ac:dyDescent="0.35">
      <c r="A349" s="9">
        <v>45869</v>
      </c>
      <c r="B349" s="14" t="s">
        <v>9</v>
      </c>
      <c r="C349" s="15">
        <v>-25598.639999999999</v>
      </c>
      <c r="D349" s="4">
        <v>1</v>
      </c>
      <c r="E349" t="s">
        <v>10</v>
      </c>
      <c r="F349" s="7">
        <v>0</v>
      </c>
    </row>
    <row r="350" spans="1:6" x14ac:dyDescent="0.35">
      <c r="A350" s="9">
        <v>45869</v>
      </c>
      <c r="B350" s="10" t="s">
        <v>19</v>
      </c>
      <c r="C350" s="11">
        <v>32547.97</v>
      </c>
      <c r="D350" s="4">
        <f>Table14[[#This Row],[Equity]]/$F$353</f>
        <v>0.12844273241097212</v>
      </c>
      <c r="E350" t="s">
        <v>12</v>
      </c>
      <c r="F350" s="7">
        <f>Table14[[#This Row],[Value]]</f>
        <v>32547.97</v>
      </c>
    </row>
    <row r="351" spans="1:6" x14ac:dyDescent="0.35">
      <c r="A351" s="9">
        <v>45869</v>
      </c>
      <c r="B351" s="10" t="s">
        <v>20</v>
      </c>
      <c r="C351" s="11">
        <v>123807.95</v>
      </c>
      <c r="D351" s="4">
        <f>Table14[[#This Row],[Equity]]/$F$353</f>
        <v>0.48857828590234709</v>
      </c>
      <c r="E351" t="s">
        <v>12</v>
      </c>
      <c r="F351" s="7">
        <f>Table14[[#This Row],[Value]]</f>
        <v>123807.95</v>
      </c>
    </row>
    <row r="352" spans="1:6" x14ac:dyDescent="0.35">
      <c r="A352" s="9">
        <v>45869</v>
      </c>
      <c r="B352" s="10" t="s">
        <v>21</v>
      </c>
      <c r="C352" s="11">
        <v>1519.978143</v>
      </c>
      <c r="D352" s="4">
        <f>Table14[[#This Row],[Equity]]/$F$353</f>
        <v>5.9982280274891286E-3</v>
      </c>
      <c r="E352" t="s">
        <v>6</v>
      </c>
      <c r="F352" s="7">
        <f>Table14[[#This Row],[Value]]</f>
        <v>1519.978143</v>
      </c>
    </row>
    <row r="353" spans="1:6" x14ac:dyDescent="0.35">
      <c r="A353" s="9">
        <v>45869</v>
      </c>
      <c r="B353" s="12" t="s">
        <v>22</v>
      </c>
      <c r="C353" s="8">
        <f>SUBTOTAL(109,C346:C352)</f>
        <v>227805.88814299999</v>
      </c>
      <c r="D353" s="23">
        <v>1</v>
      </c>
      <c r="E353" s="1" t="s">
        <v>10</v>
      </c>
      <c r="F353" s="8">
        <f>SUBTOTAL(109,F346:F352)</f>
        <v>253404.52814299997</v>
      </c>
    </row>
    <row r="354" spans="1:6" x14ac:dyDescent="0.35">
      <c r="A354" s="9">
        <v>45900</v>
      </c>
      <c r="B354" s="10" t="s">
        <v>16</v>
      </c>
      <c r="C354" s="11">
        <f>2036.75 + 12000 - 0</f>
        <v>14036.75</v>
      </c>
      <c r="D354" s="4">
        <f>Table14[[#This Row],[Equity]]/$F$361</f>
        <v>5.483569554658374E-2</v>
      </c>
      <c r="E354" t="s">
        <v>6</v>
      </c>
      <c r="F354" s="7">
        <f>Table14[[#This Row],[Value]]</f>
        <v>14036.75</v>
      </c>
    </row>
    <row r="355" spans="1:6" x14ac:dyDescent="0.35">
      <c r="A355" s="9">
        <v>45900</v>
      </c>
      <c r="B355" s="10" t="s">
        <v>17</v>
      </c>
      <c r="C355" s="11">
        <v>4326.4799999999996</v>
      </c>
      <c r="D355" s="4">
        <f>Table14[[#This Row],[Equity]]/$F$361</f>
        <v>1.6901742929694097E-2</v>
      </c>
      <c r="E355" t="s">
        <v>6</v>
      </c>
      <c r="F355" s="7">
        <f>Table14[[#This Row],[Value]]</f>
        <v>4326.4799999999996</v>
      </c>
    </row>
    <row r="356" spans="1:6" x14ac:dyDescent="0.35">
      <c r="A356" s="9">
        <v>45900</v>
      </c>
      <c r="B356" s="10" t="s">
        <v>18</v>
      </c>
      <c r="C356" s="11">
        <f>74468.39 + 6063.61</f>
        <v>80532</v>
      </c>
      <c r="D356" s="4">
        <f>Table14[[#This Row],[Equity]]/$F$361</f>
        <v>0.31460475065506488</v>
      </c>
      <c r="E356" t="s">
        <v>6</v>
      </c>
      <c r="F356" s="7">
        <f>Table14[[#This Row],[Value]]</f>
        <v>80532</v>
      </c>
    </row>
    <row r="357" spans="1:6" x14ac:dyDescent="0.35">
      <c r="A357" s="9">
        <v>45900</v>
      </c>
      <c r="B357" s="14" t="s">
        <v>9</v>
      </c>
      <c r="C357" s="15">
        <v>-25598.639999999999</v>
      </c>
      <c r="D357" s="4">
        <v>1</v>
      </c>
      <c r="E357" t="s">
        <v>10</v>
      </c>
      <c r="F357" s="7">
        <v>0</v>
      </c>
    </row>
    <row r="358" spans="1:6" x14ac:dyDescent="0.35">
      <c r="A358" s="9">
        <v>45900</v>
      </c>
      <c r="B358" s="10" t="s">
        <v>19</v>
      </c>
      <c r="C358" s="11">
        <v>32547.97</v>
      </c>
      <c r="D358" s="4">
        <f>Table14[[#This Row],[Equity]]/$F$361</f>
        <v>0.12715126888911901</v>
      </c>
      <c r="E358" t="s">
        <v>12</v>
      </c>
      <c r="F358" s="7">
        <f>Table14[[#This Row],[Value]]</f>
        <v>32547.97</v>
      </c>
    </row>
    <row r="359" spans="1:6" x14ac:dyDescent="0.35">
      <c r="A359" s="9">
        <v>45900</v>
      </c>
      <c r="B359" s="10" t="s">
        <v>20</v>
      </c>
      <c r="C359" s="11">
        <v>122992.56</v>
      </c>
      <c r="D359" s="4">
        <f>Table14[[#This Row],[Equity]]/$F$361</f>
        <v>0.480480351552527</v>
      </c>
      <c r="E359" t="s">
        <v>12</v>
      </c>
      <c r="F359" s="7">
        <f>Table14[[#This Row],[Value]]</f>
        <v>122992.56</v>
      </c>
    </row>
    <row r="360" spans="1:6" x14ac:dyDescent="0.35">
      <c r="A360" s="9">
        <v>45900</v>
      </c>
      <c r="B360" s="10" t="s">
        <v>21</v>
      </c>
      <c r="C360" s="11">
        <v>1542.5741870000002</v>
      </c>
      <c r="D360" s="4">
        <f>Table14[[#This Row],[Equity]]/$F$361</f>
        <v>6.0261904270113055E-3</v>
      </c>
      <c r="E360" t="s">
        <v>6</v>
      </c>
      <c r="F360" s="7">
        <f>Table14[[#This Row],[Value]]</f>
        <v>1542.5741870000002</v>
      </c>
    </row>
    <row r="361" spans="1:6" x14ac:dyDescent="0.35">
      <c r="A361" s="9">
        <v>45900</v>
      </c>
      <c r="B361" s="12" t="s">
        <v>22</v>
      </c>
      <c r="C361" s="8">
        <f>SUBTOTAL(109,C354:C360)</f>
        <v>230379.69418699999</v>
      </c>
      <c r="D361" s="23">
        <v>1</v>
      </c>
      <c r="E361" s="1" t="s">
        <v>10</v>
      </c>
      <c r="F361" s="8">
        <f>SUBTOTAL(109,F354:F360)</f>
        <v>255978.334187</v>
      </c>
    </row>
    <row r="362" spans="1:6" x14ac:dyDescent="0.35">
      <c r="A362" s="9">
        <v>45930</v>
      </c>
      <c r="B362" s="10" t="s">
        <v>16</v>
      </c>
      <c r="C362" s="11">
        <f>1888.36 + 12000 - 0</f>
        <v>13888.36</v>
      </c>
      <c r="D362" s="4">
        <f>Table14[[#This Row],[Equity]]/$F$369</f>
        <v>5.2649814748573061E-2</v>
      </c>
      <c r="E362" t="s">
        <v>6</v>
      </c>
      <c r="F362" s="7">
        <f>Table14[[#This Row],[Value]]</f>
        <v>13888.36</v>
      </c>
    </row>
    <row r="363" spans="1:6" x14ac:dyDescent="0.35">
      <c r="A363" s="9">
        <v>45930</v>
      </c>
      <c r="B363" s="10" t="s">
        <v>17</v>
      </c>
      <c r="C363" s="11">
        <v>4322.51</v>
      </c>
      <c r="D363" s="4">
        <f>Table14[[#This Row],[Equity]]/$F$369</f>
        <v>1.6386337245639839E-2</v>
      </c>
      <c r="E363" t="s">
        <v>6</v>
      </c>
      <c r="F363" s="7">
        <f>Table14[[#This Row],[Value]]</f>
        <v>4322.51</v>
      </c>
    </row>
    <row r="364" spans="1:6" x14ac:dyDescent="0.35">
      <c r="A364" s="9">
        <v>45930</v>
      </c>
      <c r="B364" s="10" t="s">
        <v>18</v>
      </c>
      <c r="C364" s="11">
        <f>78378.13 + 7065.33</f>
        <v>85443.46</v>
      </c>
      <c r="D364" s="4">
        <f>Table14[[#This Row],[Equity]]/$F$369</f>
        <v>0.3239102630171678</v>
      </c>
      <c r="E364" t="s">
        <v>6</v>
      </c>
      <c r="F364" s="7">
        <f>Table14[[#This Row],[Value]]</f>
        <v>85443.46</v>
      </c>
    </row>
    <row r="365" spans="1:6" x14ac:dyDescent="0.35">
      <c r="A365" s="9">
        <v>45930</v>
      </c>
      <c r="B365" s="14" t="s">
        <v>9</v>
      </c>
      <c r="C365" s="15">
        <v>-25598.639999999999</v>
      </c>
      <c r="D365" s="4">
        <v>1</v>
      </c>
      <c r="E365" t="s">
        <v>10</v>
      </c>
      <c r="F365" s="7">
        <v>0</v>
      </c>
    </row>
    <row r="366" spans="1:6" x14ac:dyDescent="0.35">
      <c r="A366" s="9">
        <v>45930</v>
      </c>
      <c r="B366" s="10" t="s">
        <v>19</v>
      </c>
      <c r="C366" s="11">
        <v>33224.74</v>
      </c>
      <c r="D366" s="4">
        <f>Table14[[#This Row],[Equity]]/$F$369</f>
        <v>0.12595269751572577</v>
      </c>
      <c r="E366" t="s">
        <v>12</v>
      </c>
      <c r="F366" s="7">
        <f>Table14[[#This Row],[Value]]</f>
        <v>33224.74</v>
      </c>
    </row>
    <row r="367" spans="1:6" x14ac:dyDescent="0.35">
      <c r="A367" s="9">
        <v>45930</v>
      </c>
      <c r="B367" s="10" t="s">
        <v>20</v>
      </c>
      <c r="C367" s="11">
        <v>125328.55</v>
      </c>
      <c r="D367" s="4">
        <f>Table14[[#This Row],[Equity]]/$F$369</f>
        <v>0.47511188795561721</v>
      </c>
      <c r="E367" t="s">
        <v>12</v>
      </c>
      <c r="F367" s="7">
        <f>Table14[[#This Row],[Value]]</f>
        <v>125328.55</v>
      </c>
    </row>
    <row r="368" spans="1:6" x14ac:dyDescent="0.35">
      <c r="A368" s="9">
        <v>45930</v>
      </c>
      <c r="B368" s="10" t="s">
        <v>21</v>
      </c>
      <c r="C368" s="11">
        <v>1579.822868</v>
      </c>
      <c r="D368" s="4">
        <f>Table14[[#This Row],[Equity]]/$F$369</f>
        <v>5.9889995172762939E-3</v>
      </c>
      <c r="E368" t="s">
        <v>6</v>
      </c>
      <c r="F368" s="7">
        <f>Table14[[#This Row],[Value]]</f>
        <v>1579.822868</v>
      </c>
    </row>
    <row r="369" spans="1:6" x14ac:dyDescent="0.35">
      <c r="A369" s="9">
        <v>45930</v>
      </c>
      <c r="B369" s="12" t="s">
        <v>22</v>
      </c>
      <c r="C369" s="8">
        <f>SUBTOTAL(109,C362:C368)</f>
        <v>238188.80286800003</v>
      </c>
      <c r="D369" s="23">
        <v>1</v>
      </c>
      <c r="E369" s="1" t="s">
        <v>10</v>
      </c>
      <c r="F369" s="8">
        <f>SUBTOTAL(109,F362:F368)</f>
        <v>263787.44286800001</v>
      </c>
    </row>
    <row r="370" spans="1:6" x14ac:dyDescent="0.35">
      <c r="A370" s="9">
        <v>45961</v>
      </c>
      <c r="B370" s="10" t="s">
        <v>16</v>
      </c>
      <c r="C370" s="11">
        <f>2281.62 + 12000 - 0</f>
        <v>14281.619999999999</v>
      </c>
      <c r="D370" s="4">
        <f>Table14[[#This Row],[Equity]]/$F$377</f>
        <v>5.1259013867486311E-2</v>
      </c>
      <c r="E370" t="s">
        <v>6</v>
      </c>
      <c r="F370" s="7">
        <f>Table14[[#This Row],[Value]]</f>
        <v>14281.619999999999</v>
      </c>
    </row>
    <row r="371" spans="1:6" x14ac:dyDescent="0.35">
      <c r="A371" s="9">
        <v>45961</v>
      </c>
      <c r="B371" s="10" t="s">
        <v>17</v>
      </c>
      <c r="C371" s="11">
        <v>3893.58</v>
      </c>
      <c r="D371" s="4">
        <f>Table14[[#This Row],[Equity]]/$F$377</f>
        <v>1.3974680128316491E-2</v>
      </c>
      <c r="E371" t="s">
        <v>6</v>
      </c>
      <c r="F371" s="7">
        <f>Table14[[#This Row],[Value]]</f>
        <v>3893.58</v>
      </c>
    </row>
    <row r="372" spans="1:6" x14ac:dyDescent="0.35">
      <c r="A372" s="9">
        <v>45961</v>
      </c>
      <c r="B372" s="10" t="s">
        <v>18</v>
      </c>
      <c r="C372" s="11">
        <f>81715.15 + 15065.33</f>
        <v>96780.479999999996</v>
      </c>
      <c r="D372" s="4">
        <f>Table14[[#This Row],[Equity]]/$F$377</f>
        <v>0.3473605911949752</v>
      </c>
      <c r="E372" t="s">
        <v>6</v>
      </c>
      <c r="F372" s="7">
        <f>Table14[[#This Row],[Value]]</f>
        <v>96780.479999999996</v>
      </c>
    </row>
    <row r="373" spans="1:6" x14ac:dyDescent="0.35">
      <c r="A373" s="9">
        <v>45961</v>
      </c>
      <c r="B373" s="14" t="s">
        <v>9</v>
      </c>
      <c r="C373" s="15">
        <v>-25598.639999999999</v>
      </c>
      <c r="D373" s="4">
        <v>1</v>
      </c>
      <c r="E373" t="s">
        <v>10</v>
      </c>
      <c r="F373" s="7">
        <v>0</v>
      </c>
    </row>
    <row r="374" spans="1:6" x14ac:dyDescent="0.35">
      <c r="A374" s="9">
        <v>45961</v>
      </c>
      <c r="B374" s="10" t="s">
        <v>19</v>
      </c>
      <c r="C374" s="11">
        <v>33224.74</v>
      </c>
      <c r="D374" s="4">
        <f>Table14[[#This Row],[Equity]]/$F$377</f>
        <v>0.1192488953216531</v>
      </c>
      <c r="E374" t="s">
        <v>12</v>
      </c>
      <c r="F374" s="7">
        <f>Table14[[#This Row],[Value]]</f>
        <v>33224.74</v>
      </c>
    </row>
    <row r="375" spans="1:6" x14ac:dyDescent="0.35">
      <c r="A375" s="9">
        <v>45961</v>
      </c>
      <c r="B375" s="10" t="s">
        <v>20</v>
      </c>
      <c r="C375" s="11">
        <v>128835.82</v>
      </c>
      <c r="D375" s="4">
        <f>Table14[[#This Row],[Equity]]/$F$377</f>
        <v>0.46241232325247217</v>
      </c>
      <c r="E375" t="s">
        <v>12</v>
      </c>
      <c r="F375" s="7">
        <f>Table14[[#This Row],[Value]]</f>
        <v>128835.82</v>
      </c>
    </row>
    <row r="376" spans="1:6" x14ac:dyDescent="0.35">
      <c r="A376" s="9">
        <v>45961</v>
      </c>
      <c r="B376" s="10" t="s">
        <v>21</v>
      </c>
      <c r="C376" s="11">
        <v>1600.512888</v>
      </c>
      <c r="D376" s="4">
        <f>Table14[[#This Row],[Equity]]/$F$377</f>
        <v>5.7444962350967589E-3</v>
      </c>
      <c r="E376" t="s">
        <v>6</v>
      </c>
      <c r="F376" s="7">
        <f>Table14[[#This Row],[Value]]</f>
        <v>1600.512888</v>
      </c>
    </row>
    <row r="377" spans="1:6" x14ac:dyDescent="0.35">
      <c r="A377" s="9">
        <v>45961</v>
      </c>
      <c r="B377" s="12" t="s">
        <v>22</v>
      </c>
      <c r="C377" s="8">
        <f>SUBTOTAL(109,C370:C376)</f>
        <v>253018.112888</v>
      </c>
      <c r="D377" s="23">
        <v>1</v>
      </c>
      <c r="E377" s="1" t="s">
        <v>10</v>
      </c>
      <c r="F377" s="8">
        <f>SUBTOTAL(109,F370:F376)</f>
        <v>278616.75288799999</v>
      </c>
    </row>
    <row r="378" spans="1:6" x14ac:dyDescent="0.35">
      <c r="A378" s="9">
        <v>45991</v>
      </c>
      <c r="B378" s="10" t="s">
        <v>16</v>
      </c>
      <c r="C378" s="11">
        <f>2130.42 + 12000 - 0</f>
        <v>14130.42</v>
      </c>
      <c r="D378" s="4">
        <f>Table14[[#This Row],[Equity]]/$F$385</f>
        <v>5.0614482024172368E-2</v>
      </c>
      <c r="E378" t="s">
        <v>6</v>
      </c>
      <c r="F378" s="7">
        <f>Table14[[#This Row],[Value]]</f>
        <v>14130.42</v>
      </c>
    </row>
    <row r="379" spans="1:6" x14ac:dyDescent="0.35">
      <c r="A379" s="9">
        <v>45991</v>
      </c>
      <c r="B379" s="10" t="s">
        <v>17</v>
      </c>
      <c r="C379" s="11">
        <v>3302.47</v>
      </c>
      <c r="D379" s="4">
        <f>Table14[[#This Row],[Equity]]/$F$385</f>
        <v>1.1829288050204346E-2</v>
      </c>
      <c r="E379" t="s">
        <v>6</v>
      </c>
      <c r="F379" s="7">
        <f>Table14[[#This Row],[Value]]</f>
        <v>3302.47</v>
      </c>
    </row>
    <row r="380" spans="1:6" x14ac:dyDescent="0.35">
      <c r="A380" s="9">
        <v>45991</v>
      </c>
      <c r="B380" s="10" t="s">
        <v>18</v>
      </c>
      <c r="C380" s="11">
        <f>84552.91 + 14498.57</f>
        <v>99051.48000000001</v>
      </c>
      <c r="D380" s="4">
        <f>Table14[[#This Row],[Equity]]/$F$385</f>
        <v>0.35479761775854285</v>
      </c>
      <c r="E380" t="s">
        <v>6</v>
      </c>
      <c r="F380" s="7">
        <f>Table14[[#This Row],[Value]]</f>
        <v>99051.48000000001</v>
      </c>
    </row>
    <row r="381" spans="1:6" x14ac:dyDescent="0.35">
      <c r="A381" s="9">
        <v>45991</v>
      </c>
      <c r="B381" s="14" t="s">
        <v>9</v>
      </c>
      <c r="C381" s="15">
        <v>-25598.639999999999</v>
      </c>
      <c r="D381" s="4">
        <v>1</v>
      </c>
      <c r="E381" t="s">
        <v>10</v>
      </c>
      <c r="F381" s="7">
        <v>0</v>
      </c>
    </row>
    <row r="382" spans="1:6" x14ac:dyDescent="0.35">
      <c r="A382" s="9">
        <v>45991</v>
      </c>
      <c r="B382" s="10" t="s">
        <v>19</v>
      </c>
      <c r="C382" s="11">
        <v>33224.74</v>
      </c>
      <c r="D382" s="4">
        <f>Table14[[#This Row],[Equity]]/$F$385</f>
        <v>0.11900941412129296</v>
      </c>
      <c r="E382" t="s">
        <v>12</v>
      </c>
      <c r="F382" s="7">
        <f>Table14[[#This Row],[Value]]</f>
        <v>33224.74</v>
      </c>
    </row>
    <row r="383" spans="1:6" x14ac:dyDescent="0.35">
      <c r="A383" s="9">
        <v>45991</v>
      </c>
      <c r="B383" s="10" t="s">
        <v>20</v>
      </c>
      <c r="C383" s="11">
        <v>127885.82</v>
      </c>
      <c r="D383" s="4">
        <f>Table14[[#This Row],[Equity]]/$F$385</f>
        <v>0.45808083111022485</v>
      </c>
      <c r="E383" t="s">
        <v>12</v>
      </c>
      <c r="F383" s="7">
        <f>Table14[[#This Row],[Value]]</f>
        <v>127885.82</v>
      </c>
    </row>
    <row r="384" spans="1:6" x14ac:dyDescent="0.35">
      <c r="A384" s="9">
        <v>45991</v>
      </c>
      <c r="B384" s="10" t="s">
        <v>21</v>
      </c>
      <c r="C384" s="11">
        <v>1582.48</v>
      </c>
      <c r="D384" s="4">
        <f>Table14[[#This Row],[Equity]]/$F$385</f>
        <v>5.6683669355625868E-3</v>
      </c>
      <c r="E384" t="s">
        <v>6</v>
      </c>
      <c r="F384" s="7">
        <f>Table14[[#This Row],[Value]]</f>
        <v>1582.48</v>
      </c>
    </row>
    <row r="385" spans="1:6" x14ac:dyDescent="0.35">
      <c r="A385" s="9">
        <v>45991</v>
      </c>
      <c r="B385" s="12" t="s">
        <v>22</v>
      </c>
      <c r="C385" s="8">
        <f>SUBTOTAL(109,C378:C384)</f>
        <v>253578.77000000002</v>
      </c>
      <c r="D385" s="23">
        <v>1</v>
      </c>
      <c r="E385" s="1" t="s">
        <v>10</v>
      </c>
      <c r="F385" s="8">
        <f>SUBTOTAL(109,F378:F384)</f>
        <v>279177.41000000003</v>
      </c>
    </row>
    <row r="386" spans="1:6" x14ac:dyDescent="0.35">
      <c r="A386" s="9">
        <v>46022</v>
      </c>
      <c r="B386" s="10" t="s">
        <v>16</v>
      </c>
      <c r="C386" s="11">
        <f>2101.38 + 10000 - 0</f>
        <v>12101.380000000001</v>
      </c>
      <c r="D386" s="4">
        <f>Table14[[#This Row],[Equity]]/$F$393</f>
        <v>3.1188531611616849E-2</v>
      </c>
      <c r="E386" t="s">
        <v>6</v>
      </c>
      <c r="F386" s="7">
        <f>Table14[[#This Row],[Value]]</f>
        <v>12101.380000000001</v>
      </c>
    </row>
    <row r="387" spans="1:6" x14ac:dyDescent="0.35">
      <c r="A387" s="9">
        <v>46022</v>
      </c>
      <c r="B387" s="10" t="s">
        <v>17</v>
      </c>
      <c r="C387" s="11">
        <v>3001.4</v>
      </c>
      <c r="D387" s="4">
        <f>Table14[[#This Row],[Equity]]/$F$393</f>
        <v>7.7354201569661317E-3</v>
      </c>
      <c r="E387" t="s">
        <v>6</v>
      </c>
      <c r="F387" s="7">
        <f>Table14[[#This Row],[Value]]</f>
        <v>3001.4</v>
      </c>
    </row>
    <row r="388" spans="1:6" x14ac:dyDescent="0.35">
      <c r="A388" s="9">
        <v>46022</v>
      </c>
      <c r="B388" s="10" t="s">
        <v>18</v>
      </c>
      <c r="C388" s="11">
        <f>85764.28 + 20883.82</f>
        <v>106648.1</v>
      </c>
      <c r="D388" s="4">
        <f>Table14[[#This Row],[Equity]]/$F$393</f>
        <v>0.27486101900517751</v>
      </c>
      <c r="E388" t="s">
        <v>6</v>
      </c>
      <c r="F388" s="7">
        <f>Table14[[#This Row],[Value]]</f>
        <v>106648.1</v>
      </c>
    </row>
    <row r="389" spans="1:6" x14ac:dyDescent="0.35">
      <c r="A389" s="9">
        <v>46022</v>
      </c>
      <c r="B389" s="14" t="s">
        <v>9</v>
      </c>
      <c r="C389" s="15">
        <v>-25598.639999999999</v>
      </c>
      <c r="D389" s="4">
        <v>1</v>
      </c>
      <c r="E389" t="s">
        <v>10</v>
      </c>
      <c r="F389" s="7">
        <v>0</v>
      </c>
    </row>
    <row r="390" spans="1:6" x14ac:dyDescent="0.35">
      <c r="A390" s="9">
        <v>46022</v>
      </c>
      <c r="B390" s="10" t="s">
        <v>19</v>
      </c>
      <c r="C390" s="11">
        <f>126916</f>
        <v>126916</v>
      </c>
      <c r="D390" s="4">
        <f>Table14[[#This Row],[Equity]]/$F$393</f>
        <v>0.32709688300177037</v>
      </c>
      <c r="E390" t="s">
        <v>12</v>
      </c>
      <c r="F390" s="7">
        <f>Table14[[#This Row],[Value]]</f>
        <v>126916</v>
      </c>
    </row>
    <row r="391" spans="1:6" x14ac:dyDescent="0.35">
      <c r="A391" s="9">
        <v>46022</v>
      </c>
      <c r="B391" s="10" t="s">
        <v>20</v>
      </c>
      <c r="C391" s="11">
        <f>127399.51+10000</f>
        <v>137399.51</v>
      </c>
      <c r="D391" s="4">
        <f>Table14[[#This Row],[Equity]]/$F$393</f>
        <v>0.35411572573174838</v>
      </c>
      <c r="E391" t="s">
        <v>12</v>
      </c>
      <c r="F391" s="7">
        <f>Table14[[#This Row],[Value]]</f>
        <v>137399.51</v>
      </c>
    </row>
    <row r="392" spans="1:6" x14ac:dyDescent="0.35">
      <c r="A392" s="9">
        <v>46022</v>
      </c>
      <c r="B392" s="10" t="s">
        <v>21</v>
      </c>
      <c r="C392" s="11">
        <v>1940.9759990000002</v>
      </c>
      <c r="D392" s="4">
        <f>Table14[[#This Row],[Equity]]/$F$393</f>
        <v>5.0024204927207553E-3</v>
      </c>
      <c r="E392" t="s">
        <v>6</v>
      </c>
      <c r="F392" s="7">
        <f>Table14[[#This Row],[Value]]</f>
        <v>1940.9759990000002</v>
      </c>
    </row>
    <row r="393" spans="1:6" x14ac:dyDescent="0.35">
      <c r="A393" s="9">
        <v>46022</v>
      </c>
      <c r="B393" s="12" t="s">
        <v>22</v>
      </c>
      <c r="C393" s="8">
        <f>SUBTOTAL(109,C386:C392)</f>
        <v>362408.72599900002</v>
      </c>
      <c r="D393" s="23">
        <v>1</v>
      </c>
      <c r="E393" s="1" t="s">
        <v>10</v>
      </c>
      <c r="F393" s="8">
        <f>SUBTOTAL(109,F386:F392)</f>
        <v>388007.36599900003</v>
      </c>
    </row>
    <row r="394" spans="1:6" x14ac:dyDescent="0.35">
      <c r="A394" s="9">
        <v>46053</v>
      </c>
      <c r="B394" s="10" t="s">
        <v>16</v>
      </c>
      <c r="C394" s="11">
        <f>3248.28 + 10000 - 0</f>
        <v>13248.28</v>
      </c>
      <c r="D394" s="4">
        <f>Table14[[#This Row],[Equity]]/$F$401</f>
        <v>3.3849744308631934E-2</v>
      </c>
      <c r="E394" t="s">
        <v>6</v>
      </c>
      <c r="F394" s="7">
        <f>Table14[[#This Row],[Value]]</f>
        <v>13248.28</v>
      </c>
    </row>
    <row r="395" spans="1:6" x14ac:dyDescent="0.35">
      <c r="A395" s="9">
        <v>46053</v>
      </c>
      <c r="B395" s="10" t="s">
        <v>17</v>
      </c>
      <c r="C395" s="11">
        <v>2715.32</v>
      </c>
      <c r="D395" s="4">
        <f>Table14[[#This Row],[Equity]]/$F$401</f>
        <v>6.937722309319736E-3</v>
      </c>
      <c r="E395" t="s">
        <v>6</v>
      </c>
      <c r="F395" s="7">
        <f>Table14[[#This Row],[Value]]</f>
        <v>2715.32</v>
      </c>
    </row>
    <row r="396" spans="1:6" x14ac:dyDescent="0.35">
      <c r="A396" s="9">
        <v>46053</v>
      </c>
      <c r="B396" s="10" t="s">
        <v>18</v>
      </c>
      <c r="C396" s="11">
        <f>87363.82 + 19782.87</f>
        <v>107146.69</v>
      </c>
      <c r="D396" s="4">
        <f>Table14[[#This Row],[Equity]]/$F$401</f>
        <v>0.27376293828453585</v>
      </c>
      <c r="E396" t="s">
        <v>6</v>
      </c>
      <c r="F396" s="7">
        <f>Table14[[#This Row],[Value]]</f>
        <v>107146.69</v>
      </c>
    </row>
    <row r="397" spans="1:6" x14ac:dyDescent="0.35">
      <c r="A397" s="9">
        <v>46053</v>
      </c>
      <c r="B397" s="14" t="s">
        <v>9</v>
      </c>
      <c r="C397" s="15">
        <v>-25647.82</v>
      </c>
      <c r="D397" s="4">
        <v>1</v>
      </c>
      <c r="E397" t="s">
        <v>10</v>
      </c>
      <c r="F397" s="7">
        <v>0</v>
      </c>
    </row>
    <row r="398" spans="1:6" x14ac:dyDescent="0.35">
      <c r="A398" s="9">
        <v>46053</v>
      </c>
      <c r="B398" s="10" t="s">
        <v>19</v>
      </c>
      <c r="C398" s="11">
        <f>126916</f>
        <v>126916</v>
      </c>
      <c r="D398" s="4">
        <f>Table14[[#This Row],[Equity]]/$F$401</f>
        <v>0.32427410567064785</v>
      </c>
      <c r="E398" t="s">
        <v>12</v>
      </c>
      <c r="F398" s="7">
        <f>Table14[[#This Row],[Value]]</f>
        <v>126916</v>
      </c>
    </row>
    <row r="399" spans="1:6" x14ac:dyDescent="0.35">
      <c r="A399" s="9">
        <v>46053</v>
      </c>
      <c r="B399" s="10" t="s">
        <v>20</v>
      </c>
      <c r="C399" s="11">
        <v>139198.85</v>
      </c>
      <c r="D399" s="4">
        <f>Table14[[#This Row],[Equity]]/$F$401</f>
        <v>0.35565714798869064</v>
      </c>
      <c r="E399" t="s">
        <v>12</v>
      </c>
      <c r="F399" s="7">
        <f>Table14[[#This Row],[Value]]</f>
        <v>139198.85</v>
      </c>
    </row>
    <row r="400" spans="1:6" x14ac:dyDescent="0.35">
      <c r="A400" s="9">
        <v>46053</v>
      </c>
      <c r="B400" s="10" t="s">
        <v>21</v>
      </c>
      <c r="C400" s="11">
        <v>2159.795709</v>
      </c>
      <c r="D400" s="4">
        <f>Table14[[#This Row],[Equity]]/$F$401</f>
        <v>5.5183414381738934E-3</v>
      </c>
      <c r="E400" t="s">
        <v>6</v>
      </c>
      <c r="F400" s="7">
        <f>Table14[[#This Row],[Value]]</f>
        <v>2159.795709</v>
      </c>
    </row>
    <row r="401" spans="1:6" x14ac:dyDescent="0.35">
      <c r="A401" s="9">
        <v>46053</v>
      </c>
      <c r="B401" s="12" t="s">
        <v>22</v>
      </c>
      <c r="C401" s="8">
        <f>SUBTOTAL(109,C394:C400)</f>
        <v>365737.11570900003</v>
      </c>
      <c r="D401" s="23">
        <v>1</v>
      </c>
      <c r="E401" s="1" t="s">
        <v>10</v>
      </c>
      <c r="F401" s="8">
        <f>SUBTOTAL(109,F394:F400)</f>
        <v>391384.93570900004</v>
      </c>
    </row>
    <row r="402" spans="1:6" x14ac:dyDescent="0.35">
      <c r="A402" s="9">
        <v>46081</v>
      </c>
      <c r="B402" s="10" t="s">
        <v>16</v>
      </c>
      <c r="C402" s="11">
        <f>1260.55 + 10000 - 0</f>
        <v>11260.55</v>
      </c>
      <c r="D402" s="4">
        <f>Table14[[#This Row],[Equity]]/$F$409</f>
        <v>2.7730172299491228E-2</v>
      </c>
      <c r="E402" t="s">
        <v>6</v>
      </c>
      <c r="F402" s="7">
        <f>Table14[[#This Row],[Value]]</f>
        <v>11260.55</v>
      </c>
    </row>
    <row r="403" spans="1:6" x14ac:dyDescent="0.35">
      <c r="A403" s="9">
        <v>46081</v>
      </c>
      <c r="B403" s="10" t="s">
        <v>17</v>
      </c>
      <c r="C403" s="11">
        <v>2469.62</v>
      </c>
      <c r="D403" s="4">
        <f>Table14[[#This Row],[Equity]]/$F$409</f>
        <v>6.0816734630430597E-3</v>
      </c>
      <c r="E403" t="s">
        <v>6</v>
      </c>
      <c r="F403" s="7">
        <f>Table14[[#This Row],[Value]]</f>
        <v>2469.62</v>
      </c>
    </row>
    <row r="404" spans="1:6" x14ac:dyDescent="0.35">
      <c r="A404" s="9">
        <v>46081</v>
      </c>
      <c r="B404" s="10" t="s">
        <v>18</v>
      </c>
      <c r="C404" s="11">
        <f>90536.93 + 20611.07</f>
        <v>111148</v>
      </c>
      <c r="D404" s="4">
        <f>Table14[[#This Row],[Equity]]/$F$409</f>
        <v>0.27371249101898676</v>
      </c>
      <c r="E404" t="s">
        <v>6</v>
      </c>
      <c r="F404" s="7">
        <f>Table14[[#This Row],[Value]]</f>
        <v>111148</v>
      </c>
    </row>
    <row r="405" spans="1:6" x14ac:dyDescent="0.35">
      <c r="A405" s="9">
        <v>46081</v>
      </c>
      <c r="B405" s="14" t="s">
        <v>9</v>
      </c>
      <c r="C405" s="15">
        <v>-25697.09</v>
      </c>
      <c r="D405" s="4">
        <v>1</v>
      </c>
      <c r="E405" t="s">
        <v>10</v>
      </c>
      <c r="F405" s="7">
        <v>0</v>
      </c>
    </row>
    <row r="406" spans="1:6" x14ac:dyDescent="0.35">
      <c r="A406" s="9">
        <v>46081</v>
      </c>
      <c r="B406" s="10" t="s">
        <v>19</v>
      </c>
      <c r="C406" s="11">
        <f>126916</f>
        <v>126916</v>
      </c>
      <c r="D406" s="4">
        <f>Table14[[#This Row],[Equity]]/$F$409</f>
        <v>0.3125426864196002</v>
      </c>
      <c r="E406" t="s">
        <v>12</v>
      </c>
      <c r="F406" s="7">
        <f>Table14[[#This Row],[Value]]</f>
        <v>126916</v>
      </c>
    </row>
    <row r="407" spans="1:6" x14ac:dyDescent="0.35">
      <c r="A407" s="9">
        <v>46081</v>
      </c>
      <c r="B407" s="10" t="s">
        <v>20</v>
      </c>
      <c r="C407" s="11">
        <f>133822+20000</f>
        <v>153822</v>
      </c>
      <c r="D407" s="4">
        <f>Table14[[#This Row],[Equity]]/$F$409</f>
        <v>0.37880126312234658</v>
      </c>
      <c r="E407" t="s">
        <v>12</v>
      </c>
      <c r="F407" s="7">
        <f>Table14[[#This Row],[Value]]</f>
        <v>153822</v>
      </c>
    </row>
    <row r="408" spans="1:6" x14ac:dyDescent="0.35">
      <c r="A408" s="9">
        <v>46081</v>
      </c>
      <c r="B408" s="10" t="s">
        <v>21</v>
      </c>
      <c r="C408" s="11">
        <v>459.56145899999996</v>
      </c>
      <c r="D408" s="4">
        <f>Table14[[#This Row],[Equity]]/$F$409</f>
        <v>1.1317136765322806E-3</v>
      </c>
      <c r="E408" t="s">
        <v>6</v>
      </c>
      <c r="F408" s="7">
        <f>Table14[[#This Row],[Value]]</f>
        <v>459.56145899999996</v>
      </c>
    </row>
    <row r="409" spans="1:6" x14ac:dyDescent="0.35">
      <c r="A409" s="9">
        <v>46081</v>
      </c>
      <c r="B409" s="12" t="s">
        <v>22</v>
      </c>
      <c r="C409" s="8">
        <f>SUBTOTAL(109,C402:C408)</f>
        <v>380378.64145900001</v>
      </c>
      <c r="D409" s="23">
        <v>1</v>
      </c>
      <c r="E409" s="1" t="s">
        <v>10</v>
      </c>
      <c r="F409" s="8">
        <f>SUBTOTAL(109,F402:F408)</f>
        <v>406075.73145899997</v>
      </c>
    </row>
    <row r="410" spans="1:6" x14ac:dyDescent="0.35">
      <c r="A410" s="9">
        <v>46112</v>
      </c>
      <c r="B410" s="10" t="s">
        <v>16</v>
      </c>
      <c r="C410" s="11">
        <f>2004.7 + 10000 - 0</f>
        <v>12004.7</v>
      </c>
      <c r="D410" s="4">
        <f>Table14[[#This Row],[Equity]]/$F$418</f>
        <v>2.8512044936956225E-2</v>
      </c>
      <c r="E410" t="s">
        <v>6</v>
      </c>
      <c r="F410" s="7">
        <f>Table14[[#This Row],[Value]]</f>
        <v>12004.7</v>
      </c>
    </row>
    <row r="411" spans="1:6" x14ac:dyDescent="0.35">
      <c r="A411" s="9">
        <v>46112</v>
      </c>
      <c r="B411" s="10" t="s">
        <v>17</v>
      </c>
      <c r="C411" s="11">
        <v>2521.39</v>
      </c>
      <c r="D411" s="4">
        <f>Table14[[#This Row],[Equity]]/$F$418</f>
        <v>5.9884865913843784E-3</v>
      </c>
      <c r="E411" t="s">
        <v>6</v>
      </c>
      <c r="F411" s="7">
        <f>Table14[[#This Row],[Value]]</f>
        <v>2521.39</v>
      </c>
    </row>
    <row r="412" spans="1:6" x14ac:dyDescent="0.35">
      <c r="A412" s="9">
        <v>46112</v>
      </c>
      <c r="B412" s="10" t="s">
        <v>18</v>
      </c>
      <c r="C412" s="11">
        <f>90452.46 + 16360.62</f>
        <v>106813.08</v>
      </c>
      <c r="D412" s="4">
        <f>Table14[[#This Row],[Equity]]/$F$418</f>
        <v>0.25368891657556625</v>
      </c>
      <c r="E412" t="s">
        <v>6</v>
      </c>
      <c r="F412" s="7">
        <f>Table14[[#This Row],[Value]]</f>
        <v>106813.08</v>
      </c>
    </row>
    <row r="413" spans="1:6" x14ac:dyDescent="0.35">
      <c r="A413" s="9">
        <v>46112</v>
      </c>
      <c r="B413" s="14" t="s">
        <v>9</v>
      </c>
      <c r="C413" s="15">
        <v>-25746.46</v>
      </c>
      <c r="D413" s="4">
        <v>1</v>
      </c>
      <c r="E413" t="s">
        <v>10</v>
      </c>
      <c r="F413" s="7">
        <v>0</v>
      </c>
    </row>
    <row r="414" spans="1:6" x14ac:dyDescent="0.35">
      <c r="A414" s="9">
        <v>46112</v>
      </c>
      <c r="B414" s="10" t="s">
        <v>19</v>
      </c>
      <c r="C414" s="11">
        <v>150956.20000000001</v>
      </c>
      <c r="D414" s="4">
        <f>Table14[[#This Row],[Equity]]/$F$418</f>
        <v>0.35853207143136867</v>
      </c>
      <c r="E414" t="s">
        <v>12</v>
      </c>
      <c r="F414" s="7">
        <f>Table14[[#This Row],[Value]]</f>
        <v>150956.20000000001</v>
      </c>
    </row>
    <row r="415" spans="1:6" x14ac:dyDescent="0.35">
      <c r="A415" s="9">
        <v>46112</v>
      </c>
      <c r="B415" s="10" t="s">
        <v>20</v>
      </c>
      <c r="C415" s="11">
        <v>146492.10999999999</v>
      </c>
      <c r="D415" s="4">
        <f>Table14[[#This Row],[Equity]]/$F$418</f>
        <v>0.34792952953672596</v>
      </c>
      <c r="E415" t="s">
        <v>12</v>
      </c>
      <c r="F415" s="7">
        <f>Table14[[#This Row],[Value]]</f>
        <v>146492.10999999999</v>
      </c>
    </row>
    <row r="416" spans="1:6" x14ac:dyDescent="0.35">
      <c r="A416" s="9">
        <v>46112</v>
      </c>
      <c r="B416" s="10" t="s">
        <v>23</v>
      </c>
      <c r="C416" s="11">
        <f>1400.53 * (1211.27 / 1400.53)</f>
        <v>1211.27</v>
      </c>
      <c r="D416" s="4">
        <f>Table14[[#This Row],[Equity]]/$F$418</f>
        <v>2.8768552875779456E-3</v>
      </c>
      <c r="E416" t="s">
        <v>6</v>
      </c>
      <c r="F416" s="7">
        <f>Table14[[#This Row],[Value]]</f>
        <v>1211.27</v>
      </c>
    </row>
    <row r="417" spans="1:6" x14ac:dyDescent="0.35">
      <c r="A417" s="9">
        <v>46112</v>
      </c>
      <c r="B417" s="10" t="s">
        <v>21</v>
      </c>
      <c r="C417" s="11">
        <v>1040.85016</v>
      </c>
      <c r="D417" s="4">
        <f>Table14[[#This Row],[Equity]]/$F$418</f>
        <v>2.4720956404206749E-3</v>
      </c>
      <c r="E417" t="s">
        <v>6</v>
      </c>
      <c r="F417" s="7">
        <f>Table14[[#This Row],[Value]]</f>
        <v>1040.85016</v>
      </c>
    </row>
    <row r="418" spans="1:6" x14ac:dyDescent="0.35">
      <c r="A418" s="9">
        <v>46112</v>
      </c>
      <c r="B418" s="12" t="s">
        <v>22</v>
      </c>
      <c r="C418" s="8">
        <f>SUBTOTAL(109,C410:C417)</f>
        <v>395293.14016000001</v>
      </c>
      <c r="D418" s="23">
        <v>1</v>
      </c>
      <c r="E418" s="1" t="s">
        <v>10</v>
      </c>
      <c r="F418" s="8">
        <f>SUBTOTAL(109,F410:F417)</f>
        <v>421039.60015999997</v>
      </c>
    </row>
    <row r="419" spans="1:6" x14ac:dyDescent="0.35">
      <c r="A419" s="9">
        <v>46142</v>
      </c>
      <c r="B419" s="10" t="s">
        <v>16</v>
      </c>
      <c r="C419" s="11">
        <f>2605.36 + 10000 - 0</f>
        <v>12605.36</v>
      </c>
      <c r="D419" s="4">
        <f>Table14[[#This Row],[Equity]]/$F$427</f>
        <v>2.8387595549286708E-2</v>
      </c>
      <c r="E419" t="s">
        <v>6</v>
      </c>
      <c r="F419" s="7">
        <f>Table14[[#This Row],[Value]]</f>
        <v>12605.36</v>
      </c>
    </row>
    <row r="420" spans="1:6" x14ac:dyDescent="0.35">
      <c r="A420" s="9">
        <v>46142</v>
      </c>
      <c r="B420" s="10" t="s">
        <v>17</v>
      </c>
      <c r="C420" s="11">
        <v>2666.01</v>
      </c>
      <c r="D420" s="4">
        <f>Table14[[#This Row],[Equity]]/$F$427</f>
        <v>6.0039232207849567E-3</v>
      </c>
      <c r="E420" t="s">
        <v>6</v>
      </c>
      <c r="F420" s="7">
        <f>Table14[[#This Row],[Value]]</f>
        <v>2666.01</v>
      </c>
    </row>
    <row r="421" spans="1:6" x14ac:dyDescent="0.35">
      <c r="A421" s="9">
        <v>46142</v>
      </c>
      <c r="B421" s="10" t="s">
        <v>18</v>
      </c>
      <c r="C421" s="11">
        <f>98453.46 + 22360.62</f>
        <v>120814.08</v>
      </c>
      <c r="D421" s="4">
        <f>Table14[[#This Row],[Equity]]/$F$427</f>
        <v>0.27207642143494259</v>
      </c>
      <c r="E421" t="s">
        <v>6</v>
      </c>
      <c r="F421" s="7">
        <f>Table14[[#This Row],[Value]]</f>
        <v>120814.08</v>
      </c>
    </row>
    <row r="422" spans="1:6" x14ac:dyDescent="0.35">
      <c r="A422" s="9">
        <v>46142</v>
      </c>
      <c r="B422" s="14" t="s">
        <v>9</v>
      </c>
      <c r="C422" s="15">
        <v>-25795.919999999998</v>
      </c>
      <c r="D422" s="4">
        <v>1</v>
      </c>
      <c r="E422" t="s">
        <v>10</v>
      </c>
      <c r="F422" s="7">
        <v>0</v>
      </c>
    </row>
    <row r="423" spans="1:6" x14ac:dyDescent="0.35">
      <c r="A423" s="9">
        <v>46142</v>
      </c>
      <c r="B423" s="10" t="s">
        <v>19</v>
      </c>
      <c r="C423" s="11">
        <f>150956.2 - 2358.47</f>
        <v>148597.73000000001</v>
      </c>
      <c r="D423" s="4">
        <f>Table14[[#This Row],[Equity]]/$F$427</f>
        <v>0.33464591719570946</v>
      </c>
      <c r="E423" t="s">
        <v>12</v>
      </c>
      <c r="F423" s="7">
        <f>Table14[[#This Row],[Value]]</f>
        <v>148597.73000000001</v>
      </c>
    </row>
    <row r="424" spans="1:6" x14ac:dyDescent="0.35">
      <c r="A424" s="9">
        <v>46142</v>
      </c>
      <c r="B424" s="10" t="s">
        <v>20</v>
      </c>
      <c r="C424" s="11">
        <v>156613.91</v>
      </c>
      <c r="D424" s="4">
        <f>Table14[[#This Row],[Equity]]/$F$427</f>
        <v>0.35269856112577419</v>
      </c>
      <c r="E424" t="s">
        <v>12</v>
      </c>
      <c r="F424" s="7">
        <f>Table14[[#This Row],[Value]]</f>
        <v>156613.91</v>
      </c>
    </row>
    <row r="425" spans="1:6" x14ac:dyDescent="0.35">
      <c r="A425" s="9">
        <v>46142</v>
      </c>
      <c r="B425" s="10" t="s">
        <v>23</v>
      </c>
      <c r="C425" s="11">
        <f>1853.06 * (1579.56 / 1853.06)</f>
        <v>1579.56</v>
      </c>
      <c r="D425" s="4">
        <f>Table14[[#This Row],[Equity]]/$F$427</f>
        <v>3.5572098239027932E-3</v>
      </c>
      <c r="E425" t="s">
        <v>6</v>
      </c>
      <c r="F425" s="7">
        <f>Table14[[#This Row],[Value]]</f>
        <v>1579.56</v>
      </c>
    </row>
    <row r="426" spans="1:6" x14ac:dyDescent="0.35">
      <c r="A426" s="9">
        <v>46142</v>
      </c>
      <c r="B426" s="10" t="s">
        <v>21</v>
      </c>
      <c r="C426" s="11">
        <v>1168.002465</v>
      </c>
      <c r="D426" s="4">
        <f>Table14[[#This Row],[Equity]]/$F$427</f>
        <v>2.6303716495990519E-3</v>
      </c>
      <c r="E426" t="s">
        <v>6</v>
      </c>
      <c r="F426" s="7">
        <f>Table14[[#This Row],[Value]]</f>
        <v>1168.002465</v>
      </c>
    </row>
    <row r="427" spans="1:6" x14ac:dyDescent="0.35">
      <c r="A427" s="9">
        <v>46142</v>
      </c>
      <c r="B427" s="12" t="s">
        <v>22</v>
      </c>
      <c r="C427" s="8">
        <f>SUBTOTAL(109,C419:C426)</f>
        <v>418248.73246500007</v>
      </c>
      <c r="D427" s="23">
        <v>1</v>
      </c>
      <c r="E427" s="1" t="s">
        <v>10</v>
      </c>
      <c r="F427" s="8">
        <f>SUBTOTAL(109,F419:F426)</f>
        <v>444044.65246500011</v>
      </c>
    </row>
    <row r="428" spans="1:6" x14ac:dyDescent="0.35">
      <c r="A428" s="9">
        <v>46173</v>
      </c>
      <c r="B428" s="10" t="s">
        <v>16</v>
      </c>
      <c r="C428" s="11">
        <f>2888.38 + 12297.69 - 0</f>
        <v>15186.07</v>
      </c>
      <c r="D428" s="4">
        <f>Table14[[#This Row],[Equity]]/$F$436</f>
        <v>3.3180693060264298E-2</v>
      </c>
      <c r="E428" t="s">
        <v>6</v>
      </c>
      <c r="F428" s="7">
        <f>Table14[[#This Row],[Value]]</f>
        <v>15186.07</v>
      </c>
    </row>
    <row r="429" spans="1:6" x14ac:dyDescent="0.35">
      <c r="A429" s="9">
        <v>46173</v>
      </c>
      <c r="B429" s="10" t="s">
        <v>17</v>
      </c>
      <c r="C429" s="11">
        <v>2556.17</v>
      </c>
      <c r="D429" s="4">
        <f>Table14[[#This Row],[Equity]]/$F$436</f>
        <v>5.5850850272556223E-3</v>
      </c>
      <c r="E429" t="s">
        <v>6</v>
      </c>
      <c r="F429" s="7">
        <f>Table14[[#This Row],[Value]]</f>
        <v>2556.17</v>
      </c>
    </row>
    <row r="430" spans="1:6" x14ac:dyDescent="0.35">
      <c r="A430" s="9">
        <v>46173</v>
      </c>
      <c r="B430" s="10" t="s">
        <v>18</v>
      </c>
      <c r="C430" s="11">
        <f>104658.58 + 22360.62</f>
        <v>127019.2</v>
      </c>
      <c r="D430" s="4">
        <f>Table14[[#This Row],[Equity]]/$F$436</f>
        <v>0.27752967607552992</v>
      </c>
      <c r="E430" t="s">
        <v>6</v>
      </c>
      <c r="F430" s="7">
        <f>Table14[[#This Row],[Value]]</f>
        <v>127019.2</v>
      </c>
    </row>
    <row r="431" spans="1:6" x14ac:dyDescent="0.35">
      <c r="A431" s="9">
        <v>46173</v>
      </c>
      <c r="B431" s="14" t="s">
        <v>9</v>
      </c>
      <c r="C431" s="15">
        <v>-25845.48</v>
      </c>
      <c r="D431" s="4">
        <v>1</v>
      </c>
      <c r="E431" t="s">
        <v>10</v>
      </c>
      <c r="F431" s="7">
        <v>0</v>
      </c>
    </row>
    <row r="432" spans="1:6" x14ac:dyDescent="0.35">
      <c r="A432" s="9">
        <v>46173</v>
      </c>
      <c r="B432" s="10" t="s">
        <v>19</v>
      </c>
      <c r="C432" s="11">
        <f>C423</f>
        <v>148597.73000000001</v>
      </c>
      <c r="D432" s="4">
        <f>Table14[[#This Row],[Equity]]/$F$436</f>
        <v>0.32467752806236422</v>
      </c>
      <c r="E432" t="s">
        <v>12</v>
      </c>
      <c r="F432" s="7">
        <f>Table14[[#This Row],[Value]]</f>
        <v>148597.73000000001</v>
      </c>
    </row>
    <row r="433" spans="1:6" x14ac:dyDescent="0.35">
      <c r="A433" s="9">
        <v>46173</v>
      </c>
      <c r="B433" s="10" t="s">
        <v>20</v>
      </c>
      <c r="C433" s="11">
        <v>161488.60999999999</v>
      </c>
      <c r="D433" s="4">
        <f>Table14[[#This Row],[Equity]]/$F$436</f>
        <v>0.35284336244589459</v>
      </c>
      <c r="E433" t="s">
        <v>12</v>
      </c>
      <c r="F433" s="7">
        <f>Table14[[#This Row],[Value]]</f>
        <v>161488.60999999999</v>
      </c>
    </row>
    <row r="434" spans="1:6" x14ac:dyDescent="0.35">
      <c r="A434" s="9">
        <v>46173</v>
      </c>
      <c r="B434" s="10" t="s">
        <v>23</v>
      </c>
      <c r="C434" s="11">
        <f>1933.4 * (1661.42 / 1933.4)</f>
        <v>1661.42</v>
      </c>
      <c r="D434" s="4">
        <f>Table14[[#This Row],[Equity]]/$F$436</f>
        <v>3.630107530400183E-3</v>
      </c>
      <c r="E434" t="s">
        <v>6</v>
      </c>
      <c r="F434" s="7">
        <f>Table14[[#This Row],[Value]]</f>
        <v>1661.42</v>
      </c>
    </row>
    <row r="435" spans="1:6" x14ac:dyDescent="0.35">
      <c r="A435" s="9">
        <v>46173</v>
      </c>
      <c r="B435" s="10" t="s">
        <v>21</v>
      </c>
      <c r="C435" s="11">
        <v>1168.7024000000001</v>
      </c>
      <c r="D435" s="4">
        <f>Table14[[#This Row],[Equity]]/$F$436</f>
        <v>2.5535477982910806E-3</v>
      </c>
      <c r="E435" t="s">
        <v>6</v>
      </c>
      <c r="F435" s="7">
        <f>Table14[[#This Row],[Value]]</f>
        <v>1168.7024000000001</v>
      </c>
    </row>
    <row r="436" spans="1:6" x14ac:dyDescent="0.35">
      <c r="A436" s="9">
        <v>46173</v>
      </c>
      <c r="B436" s="12" t="s">
        <v>22</v>
      </c>
      <c r="C436" s="8">
        <f>SUBTOTAL(109,C428:C435)</f>
        <v>431832.42239999998</v>
      </c>
      <c r="D436" s="23">
        <v>1</v>
      </c>
      <c r="E436" s="1" t="s">
        <v>10</v>
      </c>
      <c r="F436" s="8">
        <f>SUBTOTAL(109,F428:F435)</f>
        <v>457677.90240000002</v>
      </c>
    </row>
    <row r="437" spans="1:6" x14ac:dyDescent="0.35">
      <c r="A437" s="9">
        <v>46203</v>
      </c>
      <c r="B437" s="10" t="s">
        <v>16</v>
      </c>
      <c r="C437" s="11">
        <f>2775.67 + 35000 - 0</f>
        <v>37775.67</v>
      </c>
      <c r="D437" s="4">
        <f>Table14[[#This Row],[Equity]]/$F$446</f>
        <v>7.2112537277223249E-2</v>
      </c>
      <c r="E437" t="s">
        <v>6</v>
      </c>
      <c r="F437" s="7">
        <f>Table14[[#This Row],[Value]]</f>
        <v>37775.67</v>
      </c>
    </row>
    <row r="438" spans="1:6" x14ac:dyDescent="0.35">
      <c r="A438" s="9">
        <v>46203</v>
      </c>
      <c r="B438" s="10" t="s">
        <v>17</v>
      </c>
      <c r="C438" s="11">
        <v>2201.84</v>
      </c>
      <c r="D438" s="4">
        <f>Table14[[#This Row],[Equity]]/$F$446</f>
        <v>4.2032416388241758E-3</v>
      </c>
      <c r="E438" t="s">
        <v>6</v>
      </c>
      <c r="F438" s="7">
        <f>Table14[[#This Row],[Value]]</f>
        <v>2201.84</v>
      </c>
    </row>
    <row r="439" spans="1:6" x14ac:dyDescent="0.35">
      <c r="A439" s="9">
        <v>46203</v>
      </c>
      <c r="B439" s="10" t="s">
        <v>18</v>
      </c>
      <c r="C439" s="11">
        <f>108157.38 + 25216.62</f>
        <v>133374</v>
      </c>
      <c r="D439" s="4">
        <f>Table14[[#This Row],[Equity]]/$F$446</f>
        <v>0.25460667002894649</v>
      </c>
      <c r="E439" t="s">
        <v>6</v>
      </c>
      <c r="F439" s="7">
        <f>Table14[[#This Row],[Value]]</f>
        <v>133374</v>
      </c>
    </row>
    <row r="440" spans="1:6" x14ac:dyDescent="0.35">
      <c r="A440" s="9">
        <v>46203</v>
      </c>
      <c r="B440" s="14" t="s">
        <v>9</v>
      </c>
      <c r="C440" s="15">
        <v>-25895.14</v>
      </c>
      <c r="D440" s="4">
        <v>1</v>
      </c>
      <c r="E440" t="s">
        <v>10</v>
      </c>
      <c r="F440" s="7">
        <v>0</v>
      </c>
    </row>
    <row r="441" spans="1:6" x14ac:dyDescent="0.35">
      <c r="A441" s="9">
        <v>46203</v>
      </c>
      <c r="B441" s="10" t="s">
        <v>19</v>
      </c>
      <c r="C441" s="11">
        <f>(143949.36 + 5502.19) - 5502.19</f>
        <v>143949.35999999999</v>
      </c>
      <c r="D441" s="4">
        <f>Table14[[#This Row],[Equity]]/$F$446</f>
        <v>0.2747946916370359</v>
      </c>
      <c r="E441" t="s">
        <v>12</v>
      </c>
      <c r="F441" s="7">
        <f>Table14[[#This Row],[Value]]</f>
        <v>143949.35999999999</v>
      </c>
    </row>
    <row r="442" spans="1:6" x14ac:dyDescent="0.35">
      <c r="A442" s="9">
        <v>46203</v>
      </c>
      <c r="B442" s="10" t="s">
        <v>20</v>
      </c>
      <c r="C442" s="11">
        <v>162250.88</v>
      </c>
      <c r="D442" s="4">
        <f>Table14[[#This Row],[Equity]]/$F$446</f>
        <v>0.3097317038258296</v>
      </c>
      <c r="E442" t="s">
        <v>12</v>
      </c>
      <c r="F442" s="7">
        <f>Table14[[#This Row],[Value]]</f>
        <v>162250.88</v>
      </c>
    </row>
    <row r="443" spans="1:6" x14ac:dyDescent="0.35">
      <c r="A443" s="9">
        <v>46203</v>
      </c>
      <c r="B443" s="10" t="s">
        <v>24</v>
      </c>
      <c r="C443" s="11">
        <f xml:space="preserve"> 41288.2 + 150</f>
        <v>41438.199999999997</v>
      </c>
      <c r="D443" s="4">
        <f>Table14[[#This Row],[Equity]]/$F$446</f>
        <v>7.9104189077282602E-2</v>
      </c>
      <c r="E443" t="s">
        <v>12</v>
      </c>
      <c r="F443" s="7">
        <f>Table14[[#This Row],[Value]]</f>
        <v>41438.199999999997</v>
      </c>
    </row>
    <row r="444" spans="1:6" x14ac:dyDescent="0.35">
      <c r="A444" s="9">
        <v>46203</v>
      </c>
      <c r="B444" s="10" t="s">
        <v>23</v>
      </c>
      <c r="C444" s="11">
        <f>1919.91 * (1680.96 / 1919.91)</f>
        <v>1680.96</v>
      </c>
      <c r="D444" s="4">
        <f>Table14[[#This Row],[Equity]]/$F$446</f>
        <v>3.2088984963475481E-3</v>
      </c>
      <c r="E444" t="s">
        <v>6</v>
      </c>
      <c r="F444" s="7">
        <f>Table14[[#This Row],[Value]]</f>
        <v>1680.96</v>
      </c>
    </row>
    <row r="445" spans="1:6" x14ac:dyDescent="0.35">
      <c r="A445" s="9">
        <v>46203</v>
      </c>
      <c r="B445" s="10" t="s">
        <v>21</v>
      </c>
      <c r="C445" s="11">
        <v>1172.3969520000001</v>
      </c>
      <c r="D445" s="4">
        <f>Table14[[#This Row],[Equity]]/$F$446</f>
        <v>2.2380680185104039E-3</v>
      </c>
      <c r="E445" t="s">
        <v>6</v>
      </c>
      <c r="F445" s="7">
        <f>Table14[[#This Row],[Value]]</f>
        <v>1172.3969520000001</v>
      </c>
    </row>
    <row r="446" spans="1:6" x14ac:dyDescent="0.35">
      <c r="A446" s="9">
        <v>46203</v>
      </c>
      <c r="B446" s="12" t="s">
        <v>22</v>
      </c>
      <c r="C446" s="8">
        <f>SUBTOTAL(109,C437:C445)</f>
        <v>497948.166952</v>
      </c>
      <c r="D446" s="23">
        <v>1</v>
      </c>
      <c r="E446" s="1" t="s">
        <v>10</v>
      </c>
      <c r="F446" s="8">
        <f>SUBTOTAL(109,F437:F445)</f>
        <v>523843.30695200001</v>
      </c>
    </row>
    <row r="447" spans="1:6" x14ac:dyDescent="0.35">
      <c r="A447" s="9">
        <v>46234</v>
      </c>
      <c r="B447" s="10" t="s">
        <v>16</v>
      </c>
      <c r="C447" s="11">
        <f>2537.89 + 40000 - 0</f>
        <v>42537.89</v>
      </c>
      <c r="D447" s="4">
        <f>Table14[[#This Row],[Equity]]/$F$456</f>
        <v>8.0768644868858569E-2</v>
      </c>
      <c r="E447" t="s">
        <v>6</v>
      </c>
      <c r="F447" s="7">
        <f>Table14[[#This Row],[Value]]</f>
        <v>42537.89</v>
      </c>
    </row>
    <row r="448" spans="1:6" x14ac:dyDescent="0.35">
      <c r="A448" s="9">
        <v>46234</v>
      </c>
      <c r="B448" s="10" t="s">
        <v>17</v>
      </c>
      <c r="C448" s="11">
        <v>2276.8000000000002</v>
      </c>
      <c r="D448" s="4">
        <f>Table14[[#This Row],[Equity]]/$F$456</f>
        <v>4.3230646991991653E-3</v>
      </c>
      <c r="E448" t="s">
        <v>6</v>
      </c>
      <c r="F448" s="7">
        <f>Table14[[#This Row],[Value]]</f>
        <v>2276.8000000000002</v>
      </c>
    </row>
    <row r="449" spans="1:6" x14ac:dyDescent="0.35">
      <c r="A449" s="9">
        <v>46234</v>
      </c>
      <c r="B449" s="10" t="s">
        <v>18</v>
      </c>
      <c r="C449" s="11">
        <f>118210.93 + 13476.32</f>
        <v>131687.25</v>
      </c>
      <c r="D449" s="4">
        <f>Table14[[#This Row],[Equity]]/$F$456</f>
        <v>0.25004062799087107</v>
      </c>
      <c r="E449" t="s">
        <v>6</v>
      </c>
      <c r="F449" s="7">
        <f>Table14[[#This Row],[Value]]</f>
        <v>131687.25</v>
      </c>
    </row>
    <row r="450" spans="1:6" x14ac:dyDescent="0.35">
      <c r="A450" s="9">
        <v>46234</v>
      </c>
      <c r="B450" s="14" t="s">
        <v>9</v>
      </c>
      <c r="C450" s="15">
        <v>-25944.89</v>
      </c>
      <c r="D450" s="4">
        <v>1</v>
      </c>
      <c r="E450" t="s">
        <v>10</v>
      </c>
      <c r="F450" s="7">
        <v>0</v>
      </c>
    </row>
    <row r="451" spans="1:6" x14ac:dyDescent="0.35">
      <c r="A451" s="9">
        <v>46234</v>
      </c>
      <c r="B451" s="10" t="s">
        <v>19</v>
      </c>
      <c r="C451" s="11">
        <v>143949.35999999999</v>
      </c>
      <c r="D451" s="4">
        <f>Table14[[#This Row],[Equity]]/$F$456</f>
        <v>0.27332325926225942</v>
      </c>
      <c r="E451" t="s">
        <v>12</v>
      </c>
      <c r="F451" s="7">
        <f>Table14[[#This Row],[Value]]</f>
        <v>143949.35999999999</v>
      </c>
    </row>
    <row r="452" spans="1:6" x14ac:dyDescent="0.35">
      <c r="A452" s="9">
        <v>46234</v>
      </c>
      <c r="B452" s="10" t="s">
        <v>20</v>
      </c>
      <c r="C452" s="11">
        <v>161995.59</v>
      </c>
      <c r="D452" s="4">
        <f>Table14[[#This Row],[Equity]]/$F$456</f>
        <v>0.30758846475533264</v>
      </c>
      <c r="E452" t="s">
        <v>12</v>
      </c>
      <c r="F452" s="7">
        <f>Table14[[#This Row],[Value]]</f>
        <v>161995.59</v>
      </c>
    </row>
    <row r="453" spans="1:6" x14ac:dyDescent="0.35">
      <c r="A453" s="9">
        <v>46234</v>
      </c>
      <c r="B453" s="10" t="s">
        <v>24</v>
      </c>
      <c r="C453" s="11">
        <f xml:space="preserve"> 41288.2 + 150</f>
        <v>41438.199999999997</v>
      </c>
      <c r="D453" s="4">
        <f>Table14[[#This Row],[Equity]]/$F$456</f>
        <v>7.8680612973627384E-2</v>
      </c>
      <c r="E453" t="s">
        <v>12</v>
      </c>
      <c r="F453" s="7">
        <f>Table14[[#This Row],[Value]]</f>
        <v>41438.199999999997</v>
      </c>
    </row>
    <row r="454" spans="1:6" x14ac:dyDescent="0.35">
      <c r="A454" s="9">
        <v>46234</v>
      </c>
      <c r="B454" s="10" t="s">
        <v>23</v>
      </c>
      <c r="C454" s="11">
        <f>1815.23 * (1574.49 / 1815.23)</f>
        <v>1574.49</v>
      </c>
      <c r="D454" s="4">
        <f>Table14[[#This Row],[Equity]]/$F$456</f>
        <v>2.9895564556579823E-3</v>
      </c>
      <c r="E454" t="s">
        <v>6</v>
      </c>
      <c r="F454" s="7">
        <f>Table14[[#This Row],[Value]]</f>
        <v>1574.49</v>
      </c>
    </row>
    <row r="455" spans="1:6" x14ac:dyDescent="0.35">
      <c r="A455" s="9">
        <v>46234</v>
      </c>
      <c r="B455" s="10" t="s">
        <v>21</v>
      </c>
      <c r="C455" s="11">
        <v>1203.8308950000001</v>
      </c>
      <c r="D455" s="4">
        <f>Table14[[#This Row],[Equity]]/$F$456</f>
        <v>2.2857689941935336E-3</v>
      </c>
      <c r="E455" t="s">
        <v>6</v>
      </c>
      <c r="F455" s="7">
        <f>Table14[[#This Row],[Value]]</f>
        <v>1203.8308950000001</v>
      </c>
    </row>
    <row r="456" spans="1:6" x14ac:dyDescent="0.35">
      <c r="A456" s="9">
        <v>46234</v>
      </c>
      <c r="B456" s="12" t="s">
        <v>22</v>
      </c>
      <c r="C456" s="8">
        <f>SUBTOTAL(109,C447:C455)</f>
        <v>500718.52089500002</v>
      </c>
      <c r="D456" s="23">
        <v>1</v>
      </c>
      <c r="E456" s="1" t="s">
        <v>10</v>
      </c>
      <c r="F456" s="8">
        <f>SUBTOTAL(109,F447:F455)</f>
        <v>526663.4108950001</v>
      </c>
    </row>
    <row r="457" spans="1:6" x14ac:dyDescent="0.35">
      <c r="A457" s="9">
        <v>46265</v>
      </c>
      <c r="B457" s="10" t="s">
        <v>16</v>
      </c>
      <c r="C457" s="11">
        <f>1738.94 + 60000 - 0</f>
        <v>61738.94</v>
      </c>
      <c r="D457" s="4">
        <f>Table14[[#This Row],[Equity]]/$F$466</f>
        <v>0.11618929213387018</v>
      </c>
      <c r="E457" t="s">
        <v>6</v>
      </c>
      <c r="F457" s="7">
        <f>Table14[[#This Row],[Value]]</f>
        <v>61738.94</v>
      </c>
    </row>
    <row r="458" spans="1:6" x14ac:dyDescent="0.35">
      <c r="A458" s="9">
        <v>46265</v>
      </c>
      <c r="B458" s="10" t="s">
        <v>17</v>
      </c>
      <c r="C458" s="11">
        <v>2651.36</v>
      </c>
      <c r="D458" s="4">
        <f>Table14[[#This Row],[Equity]]/$F$466</f>
        <v>4.9897138109604409E-3</v>
      </c>
      <c r="E458" t="s">
        <v>6</v>
      </c>
      <c r="F458" s="7">
        <f>Table14[[#This Row],[Value]]</f>
        <v>2651.36</v>
      </c>
    </row>
    <row r="459" spans="1:6" x14ac:dyDescent="0.35">
      <c r="A459" s="9">
        <v>46265</v>
      </c>
      <c r="B459" s="10" t="s">
        <v>18</v>
      </c>
      <c r="C459" s="11">
        <f>121021.33 + 17476.32</f>
        <v>138497.65</v>
      </c>
      <c r="D459" s="4">
        <f>Table14[[#This Row],[Equity]]/$F$466</f>
        <v>0.26064496597616515</v>
      </c>
      <c r="E459" t="s">
        <v>6</v>
      </c>
      <c r="F459" s="7">
        <f>Table14[[#This Row],[Value]]</f>
        <v>138497.65</v>
      </c>
    </row>
    <row r="460" spans="1:6" x14ac:dyDescent="0.35">
      <c r="A460" s="9">
        <v>46265</v>
      </c>
      <c r="B460" s="14" t="s">
        <v>9</v>
      </c>
      <c r="C460" s="15">
        <v>-25994.74</v>
      </c>
      <c r="D460" s="4">
        <v>1</v>
      </c>
      <c r="E460" t="s">
        <v>10</v>
      </c>
      <c r="F460" s="7">
        <v>0</v>
      </c>
    </row>
    <row r="461" spans="1:6" x14ac:dyDescent="0.35">
      <c r="A461" s="9">
        <v>46265</v>
      </c>
      <c r="B461" s="10" t="s">
        <v>19</v>
      </c>
      <c r="C461" s="11">
        <f xml:space="preserve"> 143949.36 - 6454.89 - 5121.6 - 3752.17 - 4389.65 - 4815.21</f>
        <v>119415.83999999997</v>
      </c>
      <c r="D461" s="4">
        <f>Table14[[#This Row],[Equity]]/$F$466</f>
        <v>0.22473404822258844</v>
      </c>
      <c r="E461" t="s">
        <v>12</v>
      </c>
      <c r="F461" s="7">
        <f>Table14[[#This Row],[Value]]</f>
        <v>119415.83999999997</v>
      </c>
    </row>
    <row r="462" spans="1:6" x14ac:dyDescent="0.35">
      <c r="A462" s="9">
        <v>46265</v>
      </c>
      <c r="B462" s="10" t="s">
        <v>20</v>
      </c>
      <c r="C462" s="11">
        <v>165025.04</v>
      </c>
      <c r="D462" s="4">
        <f>Table14[[#This Row],[Equity]]/$F$466</f>
        <v>0.31056805610792171</v>
      </c>
      <c r="E462" t="s">
        <v>12</v>
      </c>
      <c r="F462" s="7">
        <f>Table14[[#This Row],[Value]]</f>
        <v>165025.04</v>
      </c>
    </row>
    <row r="463" spans="1:6" x14ac:dyDescent="0.35">
      <c r="A463" s="9">
        <v>46265</v>
      </c>
      <c r="B463" s="10" t="s">
        <v>24</v>
      </c>
      <c r="C463" s="11">
        <f xml:space="preserve"> 41288.2 + 150</f>
        <v>41438.199999999997</v>
      </c>
      <c r="D463" s="4">
        <f>Table14[[#This Row],[Equity]]/$F$466</f>
        <v>7.7984415108224056E-2</v>
      </c>
      <c r="E463" t="s">
        <v>12</v>
      </c>
      <c r="F463" s="7">
        <f>Table14[[#This Row],[Value]]</f>
        <v>41438.199999999997</v>
      </c>
    </row>
    <row r="464" spans="1:6" x14ac:dyDescent="0.35">
      <c r="A464" s="9">
        <v>46265</v>
      </c>
      <c r="B464" s="10" t="s">
        <v>23</v>
      </c>
      <c r="C464" s="11">
        <f>1654.5 * (1424.51 / 1654.5)</f>
        <v>1424.51</v>
      </c>
      <c r="D464" s="4">
        <f>Table14[[#This Row],[Equity]]/$F$466</f>
        <v>2.6808495341452154E-3</v>
      </c>
      <c r="E464" t="s">
        <v>6</v>
      </c>
      <c r="F464" s="7">
        <f>Table14[[#This Row],[Value]]</f>
        <v>1424.51</v>
      </c>
    </row>
    <row r="465" spans="1:6" x14ac:dyDescent="0.35">
      <c r="A465" s="9">
        <v>46265</v>
      </c>
      <c r="B465" s="10" t="s">
        <v>21</v>
      </c>
      <c r="C465" s="11">
        <v>1173.6044649999999</v>
      </c>
      <c r="D465" s="4">
        <f>Table14[[#This Row],[Equity]]/$F$466</f>
        <v>2.2086591061249092E-3</v>
      </c>
      <c r="E465" t="s">
        <v>6</v>
      </c>
      <c r="F465" s="7">
        <f>Table14[[#This Row],[Value]]</f>
        <v>1173.6044649999999</v>
      </c>
    </row>
    <row r="466" spans="1:6" x14ac:dyDescent="0.35">
      <c r="A466" s="9">
        <v>46265</v>
      </c>
      <c r="B466" s="12" t="s">
        <v>22</v>
      </c>
      <c r="C466" s="8">
        <f>SUBTOTAL(109,C457:C465)</f>
        <v>505370.40446499997</v>
      </c>
      <c r="D466" s="23">
        <v>1</v>
      </c>
      <c r="E466" s="1" t="s">
        <v>10</v>
      </c>
      <c r="F466" s="8">
        <f>SUBTOTAL(109,F457:F465)</f>
        <v>531365.1444649999</v>
      </c>
    </row>
    <row r="467" spans="1:6" x14ac:dyDescent="0.35">
      <c r="A467" s="9">
        <v>46295</v>
      </c>
      <c r="B467" s="10" t="s">
        <v>16</v>
      </c>
      <c r="C467" s="11">
        <f>1995.63 + 60000 - 0</f>
        <v>61995.63</v>
      </c>
      <c r="D467" s="4">
        <f>Table14[[#This Row],[Equity]]/$F$476</f>
        <v>0.11408238697092886</v>
      </c>
      <c r="E467" t="s">
        <v>6</v>
      </c>
      <c r="F467" s="7">
        <f>Table14[[#This Row],[Value]]</f>
        <v>61995.63</v>
      </c>
    </row>
    <row r="468" spans="1:6" x14ac:dyDescent="0.35">
      <c r="A468" s="9">
        <v>46295</v>
      </c>
      <c r="B468" s="10" t="s">
        <v>17</v>
      </c>
      <c r="C468" s="11">
        <v>2931.07</v>
      </c>
      <c r="D468" s="4">
        <f>Table14[[#This Row],[Equity]]/$F$476</f>
        <v>5.393661810983782E-3</v>
      </c>
      <c r="E468" t="s">
        <v>6</v>
      </c>
      <c r="F468" s="7">
        <f>Table14[[#This Row],[Value]]</f>
        <v>2931.07</v>
      </c>
    </row>
    <row r="469" spans="1:6" x14ac:dyDescent="0.35">
      <c r="A469" s="9">
        <v>46295</v>
      </c>
      <c r="B469" s="10" t="s">
        <v>18</v>
      </c>
      <c r="C469" s="11">
        <f>124404.76 + 25476.32</f>
        <v>149881.07999999999</v>
      </c>
      <c r="D469" s="4">
        <f>Table14[[#This Row],[Equity]]/$F$476</f>
        <v>0.27580639745383256</v>
      </c>
      <c r="E469" t="s">
        <v>6</v>
      </c>
      <c r="F469" s="7">
        <f>Table14[[#This Row],[Value]]</f>
        <v>149881.07999999999</v>
      </c>
    </row>
    <row r="470" spans="1:6" x14ac:dyDescent="0.35">
      <c r="A470" s="9">
        <v>46295</v>
      </c>
      <c r="B470" s="14" t="s">
        <v>9</v>
      </c>
      <c r="C470" s="15">
        <v>-26044.68</v>
      </c>
      <c r="D470" s="4">
        <v>1</v>
      </c>
      <c r="E470" t="s">
        <v>10</v>
      </c>
      <c r="F470" s="7">
        <v>0</v>
      </c>
    </row>
    <row r="471" spans="1:6" x14ac:dyDescent="0.35">
      <c r="A471" s="9">
        <v>46295</v>
      </c>
      <c r="B471" s="10" t="s">
        <v>19</v>
      </c>
      <c r="C471" s="11">
        <f xml:space="preserve"> 143949.36 - 6454.89 - 5121.6 - 3752.17 - 4389.65 - 4815.21</f>
        <v>119415.83999999997</v>
      </c>
      <c r="D471" s="4">
        <f>Table14[[#This Row],[Equity]]/$F$476</f>
        <v>0.21974523154839337</v>
      </c>
      <c r="E471" t="s">
        <v>12</v>
      </c>
      <c r="F471" s="7">
        <f>Table14[[#This Row],[Value]]</f>
        <v>119415.83999999997</v>
      </c>
    </row>
    <row r="472" spans="1:6" x14ac:dyDescent="0.35">
      <c r="A472" s="9">
        <v>46295</v>
      </c>
      <c r="B472" s="10" t="s">
        <v>20</v>
      </c>
      <c r="C472" s="11">
        <v>165161.22</v>
      </c>
      <c r="D472" s="4">
        <f>Table14[[#This Row],[Equity]]/$F$476</f>
        <v>0.30392442519949736</v>
      </c>
      <c r="E472" t="s">
        <v>12</v>
      </c>
      <c r="F472" s="7">
        <f>Table14[[#This Row],[Value]]</f>
        <v>165161.22</v>
      </c>
    </row>
    <row r="473" spans="1:6" x14ac:dyDescent="0.35">
      <c r="A473" s="9">
        <v>46295</v>
      </c>
      <c r="B473" s="10" t="s">
        <v>24</v>
      </c>
      <c r="C473" s="11">
        <f xml:space="preserve"> 41288.2 + 150</f>
        <v>41438.199999999997</v>
      </c>
      <c r="D473" s="4">
        <f>Table14[[#This Row],[Equity]]/$F$476</f>
        <v>7.6253257976066122E-2</v>
      </c>
      <c r="E473" t="s">
        <v>12</v>
      </c>
      <c r="F473" s="7">
        <f>Table14[[#This Row],[Value]]</f>
        <v>41438.199999999997</v>
      </c>
    </row>
    <row r="474" spans="1:6" x14ac:dyDescent="0.35">
      <c r="A474" s="9">
        <v>46295</v>
      </c>
      <c r="B474" s="10" t="s">
        <v>23</v>
      </c>
      <c r="C474" s="11">
        <f>1576.87 * (1391.7 / 1576.87)</f>
        <v>1391.7</v>
      </c>
      <c r="D474" s="4">
        <f>Table14[[#This Row],[Equity]]/$F$476</f>
        <v>2.5609620863186922E-3</v>
      </c>
      <c r="E474" t="s">
        <v>6</v>
      </c>
      <c r="F474" s="7">
        <f>Table14[[#This Row],[Value]]</f>
        <v>1391.7</v>
      </c>
    </row>
    <row r="475" spans="1:6" x14ac:dyDescent="0.35">
      <c r="A475" s="9">
        <v>46295</v>
      </c>
      <c r="B475" s="10" t="s">
        <v>21</v>
      </c>
      <c r="C475" s="11">
        <v>1213.8439040000001</v>
      </c>
      <c r="D475" s="4">
        <f>Table14[[#This Row],[Equity]]/$F$476</f>
        <v>2.2336769539793538E-3</v>
      </c>
      <c r="E475" t="s">
        <v>6</v>
      </c>
      <c r="F475" s="7">
        <f>Table14[[#This Row],[Value]]</f>
        <v>1213.8439040000001</v>
      </c>
    </row>
    <row r="476" spans="1:6" x14ac:dyDescent="0.35">
      <c r="A476" s="9">
        <v>46295</v>
      </c>
      <c r="B476" s="12" t="s">
        <v>22</v>
      </c>
      <c r="C476" s="8">
        <f>SUBTOTAL(109,C467:C475)</f>
        <v>517383.90390399995</v>
      </c>
      <c r="D476" s="23">
        <v>1</v>
      </c>
      <c r="E476" s="1" t="s">
        <v>10</v>
      </c>
      <c r="F476" s="8">
        <f>SUBTOTAL(109,F467:F475)</f>
        <v>543428.58390399988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ABCB-E4FC-471C-9EFE-EF16ED036D9C}">
  <dimension ref="A1:E476"/>
  <sheetViews>
    <sheetView topLeftCell="A448" zoomScaleNormal="100" workbookViewId="0">
      <selection activeCell="H478" sqref="H478"/>
    </sheetView>
  </sheetViews>
  <sheetFormatPr defaultRowHeight="14.5" x14ac:dyDescent="0.35"/>
  <cols>
    <col min="1" max="1" width="18.7265625" bestFit="1" customWidth="1"/>
    <col min="2" max="2" width="16.7265625" bestFit="1" customWidth="1"/>
    <col min="3" max="3" width="13.1796875" style="7" bestFit="1" customWidth="1"/>
    <col min="4" max="4" width="13.1796875" style="4" bestFit="1" customWidth="1"/>
    <col min="5" max="5" width="14" bestFit="1" customWidth="1"/>
    <col min="8" max="8" width="15.453125" bestFit="1" customWidth="1"/>
    <col min="9" max="9" width="13.1796875" bestFit="1" customWidth="1"/>
  </cols>
  <sheetData>
    <row r="1" spans="1:5" x14ac:dyDescent="0.35">
      <c r="A1" t="s">
        <v>0</v>
      </c>
      <c r="B1" t="s">
        <v>1</v>
      </c>
      <c r="C1" s="7" t="s">
        <v>2</v>
      </c>
      <c r="D1" s="4" t="s">
        <v>3</v>
      </c>
      <c r="E1" t="s">
        <v>4</v>
      </c>
    </row>
    <row r="2" spans="1:5" x14ac:dyDescent="0.35">
      <c r="A2" s="5">
        <v>44561</v>
      </c>
      <c r="B2" s="2" t="s">
        <v>5</v>
      </c>
      <c r="C2" s="7">
        <v>25192.47</v>
      </c>
      <c r="D2" s="4">
        <v>0.32184217737654719</v>
      </c>
      <c r="E2" t="s">
        <v>6</v>
      </c>
    </row>
    <row r="3" spans="1:5" x14ac:dyDescent="0.35">
      <c r="A3" s="5">
        <v>44561</v>
      </c>
      <c r="B3" s="2" t="s">
        <v>7</v>
      </c>
      <c r="C3" s="7">
        <v>4407.99</v>
      </c>
      <c r="D3" s="4">
        <v>5.6313537317065218E-2</v>
      </c>
      <c r="E3" t="s">
        <v>6</v>
      </c>
    </row>
    <row r="4" spans="1:5" x14ac:dyDescent="0.35">
      <c r="A4" s="5">
        <v>44561</v>
      </c>
      <c r="B4" s="2" t="s">
        <v>8</v>
      </c>
      <c r="C4" s="7">
        <v>16679.39</v>
      </c>
      <c r="D4" s="4">
        <v>0.21308475091615101</v>
      </c>
      <c r="E4" t="s">
        <v>6</v>
      </c>
    </row>
    <row r="5" spans="1:5" x14ac:dyDescent="0.35">
      <c r="A5" s="5">
        <v>44561</v>
      </c>
      <c r="B5" s="2" t="s">
        <v>9</v>
      </c>
      <c r="C5" s="7">
        <v>-25598.639999999999</v>
      </c>
      <c r="D5" s="19">
        <v>1</v>
      </c>
      <c r="E5" t="s">
        <v>10</v>
      </c>
    </row>
    <row r="6" spans="1:5" x14ac:dyDescent="0.35">
      <c r="A6" s="5">
        <v>44561</v>
      </c>
      <c r="B6" s="2" t="s">
        <v>11</v>
      </c>
      <c r="C6" s="7">
        <v>31996</v>
      </c>
      <c r="D6" s="4">
        <v>0.40875953439023655</v>
      </c>
      <c r="E6" t="s">
        <v>12</v>
      </c>
    </row>
    <row r="7" spans="1:5" x14ac:dyDescent="0.35">
      <c r="A7" s="5">
        <v>44561</v>
      </c>
      <c r="B7" s="2" t="s">
        <v>13</v>
      </c>
      <c r="C7" s="7">
        <v>0</v>
      </c>
      <c r="D7" s="4">
        <v>0</v>
      </c>
      <c r="E7" t="s">
        <v>12</v>
      </c>
    </row>
    <row r="8" spans="1:5" s="1" customFormat="1" x14ac:dyDescent="0.35">
      <c r="A8" s="5">
        <v>44561</v>
      </c>
      <c r="B8" s="2" t="s">
        <v>14</v>
      </c>
      <c r="C8" s="7">
        <v>0</v>
      </c>
      <c r="D8" s="4">
        <v>0</v>
      </c>
      <c r="E8" t="s">
        <v>6</v>
      </c>
    </row>
    <row r="9" spans="1:5" x14ac:dyDescent="0.35">
      <c r="A9" s="5">
        <v>44561</v>
      </c>
      <c r="B9" s="3" t="s">
        <v>15</v>
      </c>
      <c r="C9" s="8">
        <v>52677.21</v>
      </c>
      <c r="D9" s="6">
        <v>1</v>
      </c>
      <c r="E9" s="1" t="s">
        <v>10</v>
      </c>
    </row>
    <row r="10" spans="1:5" x14ac:dyDescent="0.35">
      <c r="A10" s="5">
        <v>44592</v>
      </c>
      <c r="B10" s="2" t="s">
        <v>5</v>
      </c>
      <c r="C10" s="7">
        <v>25192.47</v>
      </c>
      <c r="D10" s="4">
        <v>0.31559807626066255</v>
      </c>
      <c r="E10" t="s">
        <v>6</v>
      </c>
    </row>
    <row r="11" spans="1:5" x14ac:dyDescent="0.35">
      <c r="A11" s="5">
        <v>44592</v>
      </c>
      <c r="B11" s="2" t="s">
        <v>7</v>
      </c>
      <c r="C11" s="7">
        <v>2807.5</v>
      </c>
      <c r="D11" s="4">
        <v>3.5170890313725098E-2</v>
      </c>
      <c r="E11" t="s">
        <v>6</v>
      </c>
    </row>
    <row r="12" spans="1:5" x14ac:dyDescent="0.35">
      <c r="A12" s="5">
        <v>44592</v>
      </c>
      <c r="B12" s="2" t="s">
        <v>8</v>
      </c>
      <c r="C12" s="7">
        <v>19828.565999999999</v>
      </c>
      <c r="D12" s="4">
        <v>0.24840189487603162</v>
      </c>
      <c r="E12" t="s">
        <v>6</v>
      </c>
    </row>
    <row r="13" spans="1:5" x14ac:dyDescent="0.35">
      <c r="A13" s="5">
        <v>44592</v>
      </c>
      <c r="B13" s="2" t="s">
        <v>9</v>
      </c>
      <c r="C13" s="7">
        <v>-25598.639999999999</v>
      </c>
      <c r="D13" s="19">
        <v>1</v>
      </c>
      <c r="E13" t="s">
        <v>10</v>
      </c>
    </row>
    <row r="14" spans="1:5" x14ac:dyDescent="0.35">
      <c r="A14" s="5">
        <v>44592</v>
      </c>
      <c r="B14" s="2" t="s">
        <v>11</v>
      </c>
      <c r="C14" s="7">
        <v>31996</v>
      </c>
      <c r="D14" s="4">
        <v>0.40082913854958085</v>
      </c>
      <c r="E14" t="s">
        <v>12</v>
      </c>
    </row>
    <row r="15" spans="1:5" s="1" customFormat="1" x14ac:dyDescent="0.35">
      <c r="A15" s="5">
        <v>44592</v>
      </c>
      <c r="B15" s="2" t="s">
        <v>13</v>
      </c>
      <c r="C15" s="7">
        <v>0</v>
      </c>
      <c r="D15" s="4">
        <v>0</v>
      </c>
      <c r="E15" t="s">
        <v>12</v>
      </c>
    </row>
    <row r="16" spans="1:5" x14ac:dyDescent="0.35">
      <c r="A16" s="5">
        <v>44592</v>
      </c>
      <c r="B16" s="2" t="s">
        <v>14</v>
      </c>
      <c r="C16" s="7">
        <v>0</v>
      </c>
      <c r="D16" s="4">
        <v>0</v>
      </c>
      <c r="E16" t="s">
        <v>6</v>
      </c>
    </row>
    <row r="17" spans="1:5" x14ac:dyDescent="0.35">
      <c r="A17" s="5">
        <v>44592</v>
      </c>
      <c r="B17" s="3" t="s">
        <v>15</v>
      </c>
      <c r="C17" s="8">
        <v>54225.896000000001</v>
      </c>
      <c r="D17" s="6">
        <v>1</v>
      </c>
      <c r="E17" s="1" t="s">
        <v>10</v>
      </c>
    </row>
    <row r="18" spans="1:5" x14ac:dyDescent="0.35">
      <c r="A18" s="5">
        <v>44620</v>
      </c>
      <c r="B18" s="2" t="s">
        <v>5</v>
      </c>
      <c r="C18" s="7">
        <v>15431.73</v>
      </c>
      <c r="D18" s="4">
        <v>0.20561103573921283</v>
      </c>
      <c r="E18" t="s">
        <v>6</v>
      </c>
    </row>
    <row r="19" spans="1:5" x14ac:dyDescent="0.35">
      <c r="A19" s="5">
        <v>44620</v>
      </c>
      <c r="B19" s="2" t="s">
        <v>7</v>
      </c>
      <c r="C19" s="7">
        <v>4849.6400000000003</v>
      </c>
      <c r="D19" s="4">
        <v>6.4616183886208239E-2</v>
      </c>
      <c r="E19" t="s">
        <v>6</v>
      </c>
    </row>
    <row r="20" spans="1:5" x14ac:dyDescent="0.35">
      <c r="A20" s="5">
        <v>44620</v>
      </c>
      <c r="B20" s="2" t="s">
        <v>8</v>
      </c>
      <c r="C20" s="7">
        <v>22775.654000000002</v>
      </c>
      <c r="D20" s="4">
        <v>0.30346084389617667</v>
      </c>
      <c r="E20" t="s">
        <v>6</v>
      </c>
    </row>
    <row r="21" spans="1:5" x14ac:dyDescent="0.35">
      <c r="A21" s="5">
        <v>44620</v>
      </c>
      <c r="B21" s="2" t="s">
        <v>9</v>
      </c>
      <c r="C21" s="7">
        <v>-25598.639999999999</v>
      </c>
      <c r="D21" s="19">
        <v>1</v>
      </c>
      <c r="E21" t="s">
        <v>10</v>
      </c>
    </row>
    <row r="22" spans="1:5" s="1" customFormat="1" x14ac:dyDescent="0.35">
      <c r="A22" s="5">
        <v>44620</v>
      </c>
      <c r="B22" s="2" t="s">
        <v>11</v>
      </c>
      <c r="C22" s="7">
        <v>31996</v>
      </c>
      <c r="D22" s="4">
        <v>0.42631193647840221</v>
      </c>
      <c r="E22" t="s">
        <v>12</v>
      </c>
    </row>
    <row r="23" spans="1:5" x14ac:dyDescent="0.35">
      <c r="A23" s="5">
        <v>44620</v>
      </c>
      <c r="B23" s="2" t="s">
        <v>13</v>
      </c>
      <c r="C23" s="7">
        <v>0</v>
      </c>
      <c r="D23" s="4">
        <v>0</v>
      </c>
      <c r="E23" t="s">
        <v>12</v>
      </c>
    </row>
    <row r="24" spans="1:5" x14ac:dyDescent="0.35">
      <c r="A24" s="5">
        <v>44620</v>
      </c>
      <c r="B24" s="2" t="s">
        <v>14</v>
      </c>
      <c r="C24" s="7">
        <v>0</v>
      </c>
      <c r="D24" s="4">
        <v>0</v>
      </c>
      <c r="E24" t="s">
        <v>6</v>
      </c>
    </row>
    <row r="25" spans="1:5" x14ac:dyDescent="0.35">
      <c r="A25" s="5">
        <v>44620</v>
      </c>
      <c r="B25" s="3" t="s">
        <v>15</v>
      </c>
      <c r="C25" s="8">
        <v>49454.384000000005</v>
      </c>
      <c r="D25" s="6">
        <v>1</v>
      </c>
      <c r="E25" s="1" t="s">
        <v>10</v>
      </c>
    </row>
    <row r="26" spans="1:5" x14ac:dyDescent="0.35">
      <c r="A26" s="5">
        <v>44651</v>
      </c>
      <c r="B26" s="2" t="s">
        <v>5</v>
      </c>
      <c r="C26" s="7">
        <v>12661.04</v>
      </c>
      <c r="D26" s="4">
        <v>0.17639102784528585</v>
      </c>
      <c r="E26" t="s">
        <v>6</v>
      </c>
    </row>
    <row r="27" spans="1:5" x14ac:dyDescent="0.35">
      <c r="A27" s="5">
        <v>44651</v>
      </c>
      <c r="B27" s="2" t="s">
        <v>7</v>
      </c>
      <c r="C27" s="7">
        <v>5025.68</v>
      </c>
      <c r="D27" s="4">
        <v>7.001674908392172E-2</v>
      </c>
      <c r="E27" t="s">
        <v>6</v>
      </c>
    </row>
    <row r="28" spans="1:5" x14ac:dyDescent="0.35">
      <c r="A28" s="5">
        <v>44651</v>
      </c>
      <c r="B28" s="2" t="s">
        <v>8</v>
      </c>
      <c r="C28" s="7">
        <v>26681.534</v>
      </c>
      <c r="D28" s="4">
        <v>0.37172169164215113</v>
      </c>
      <c r="E28" t="s">
        <v>6</v>
      </c>
    </row>
    <row r="29" spans="1:5" s="1" customFormat="1" x14ac:dyDescent="0.35">
      <c r="A29" s="5">
        <v>44651</v>
      </c>
      <c r="B29" s="2" t="s">
        <v>9</v>
      </c>
      <c r="C29" s="7">
        <v>-25598.639999999999</v>
      </c>
      <c r="D29" s="19">
        <v>1</v>
      </c>
      <c r="E29" t="s">
        <v>10</v>
      </c>
    </row>
    <row r="30" spans="1:5" x14ac:dyDescent="0.35">
      <c r="A30" s="5">
        <v>44651</v>
      </c>
      <c r="B30" s="2" t="s">
        <v>11</v>
      </c>
      <c r="C30" s="7">
        <v>27410</v>
      </c>
      <c r="D30" s="4">
        <v>0.3818705314286413</v>
      </c>
      <c r="E30" t="s">
        <v>12</v>
      </c>
    </row>
    <row r="31" spans="1:5" x14ac:dyDescent="0.35">
      <c r="A31" s="5">
        <v>44651</v>
      </c>
      <c r="B31" s="2" t="s">
        <v>13</v>
      </c>
      <c r="C31" s="7">
        <v>0</v>
      </c>
      <c r="D31" s="4">
        <v>0</v>
      </c>
      <c r="E31" t="s">
        <v>12</v>
      </c>
    </row>
    <row r="32" spans="1:5" x14ac:dyDescent="0.35">
      <c r="A32" s="5">
        <v>44651</v>
      </c>
      <c r="B32" s="2" t="s">
        <v>14</v>
      </c>
      <c r="C32" s="7">
        <v>0</v>
      </c>
      <c r="D32" s="4">
        <v>0</v>
      </c>
      <c r="E32" t="s">
        <v>6</v>
      </c>
    </row>
    <row r="33" spans="1:5" x14ac:dyDescent="0.35">
      <c r="A33" s="5">
        <v>44651</v>
      </c>
      <c r="B33" s="3" t="s">
        <v>15</v>
      </c>
      <c r="C33" s="8">
        <v>46179.614000000001</v>
      </c>
      <c r="D33" s="6">
        <v>1</v>
      </c>
      <c r="E33" s="1" t="s">
        <v>10</v>
      </c>
    </row>
    <row r="34" spans="1:5" x14ac:dyDescent="0.35">
      <c r="A34" s="5">
        <v>44681</v>
      </c>
      <c r="B34" s="2" t="s">
        <v>5</v>
      </c>
      <c r="C34" s="7">
        <v>12161.02</v>
      </c>
      <c r="D34" s="4">
        <v>0.17311655378449586</v>
      </c>
      <c r="E34" t="s">
        <v>6</v>
      </c>
    </row>
    <row r="35" spans="1:5" x14ac:dyDescent="0.35">
      <c r="A35" s="5">
        <v>44681</v>
      </c>
      <c r="B35" s="2" t="s">
        <v>7</v>
      </c>
      <c r="C35" s="7">
        <v>4451.13</v>
      </c>
      <c r="D35" s="4">
        <v>6.3363458496637867E-2</v>
      </c>
      <c r="E35" t="s">
        <v>6</v>
      </c>
    </row>
    <row r="36" spans="1:5" s="1" customFormat="1" x14ac:dyDescent="0.35">
      <c r="A36" s="5">
        <v>44681</v>
      </c>
      <c r="B36" s="2" t="s">
        <v>8</v>
      </c>
      <c r="C36" s="7">
        <v>26225.436000000002</v>
      </c>
      <c r="D36" s="4">
        <v>0.37332864363481472</v>
      </c>
      <c r="E36" t="s">
        <v>6</v>
      </c>
    </row>
    <row r="37" spans="1:5" x14ac:dyDescent="0.35">
      <c r="A37" s="5">
        <v>44681</v>
      </c>
      <c r="B37" s="2" t="s">
        <v>9</v>
      </c>
      <c r="C37" s="7">
        <v>-25598.639999999999</v>
      </c>
      <c r="D37" s="19">
        <v>1</v>
      </c>
      <c r="E37" t="s">
        <v>10</v>
      </c>
    </row>
    <row r="38" spans="1:5" x14ac:dyDescent="0.35">
      <c r="A38" s="5">
        <v>44681</v>
      </c>
      <c r="B38" s="2" t="s">
        <v>11</v>
      </c>
      <c r="C38" s="7">
        <v>27410</v>
      </c>
      <c r="D38" s="4">
        <v>0.39019134408405148</v>
      </c>
      <c r="E38" t="s">
        <v>12</v>
      </c>
    </row>
    <row r="39" spans="1:5" x14ac:dyDescent="0.35">
      <c r="A39" s="5">
        <v>44681</v>
      </c>
      <c r="B39" s="2" t="s">
        <v>13</v>
      </c>
      <c r="C39" s="7">
        <v>0</v>
      </c>
      <c r="D39" s="4">
        <v>0</v>
      </c>
      <c r="E39" t="s">
        <v>12</v>
      </c>
    </row>
    <row r="40" spans="1:5" x14ac:dyDescent="0.35">
      <c r="A40" s="5">
        <v>44681</v>
      </c>
      <c r="B40" s="2" t="s">
        <v>14</v>
      </c>
      <c r="C40" s="7">
        <v>0</v>
      </c>
      <c r="D40" s="4">
        <v>0</v>
      </c>
      <c r="E40" t="s">
        <v>6</v>
      </c>
    </row>
    <row r="41" spans="1:5" x14ac:dyDescent="0.35">
      <c r="A41" s="5">
        <v>44681</v>
      </c>
      <c r="B41" s="3" t="s">
        <v>15</v>
      </c>
      <c r="C41" s="8">
        <v>44648.946000000004</v>
      </c>
      <c r="D41" s="6">
        <v>1</v>
      </c>
      <c r="E41" s="1" t="s">
        <v>10</v>
      </c>
    </row>
    <row r="42" spans="1:5" x14ac:dyDescent="0.35">
      <c r="A42" s="5">
        <v>44712</v>
      </c>
      <c r="B42" s="2" t="s">
        <v>5</v>
      </c>
      <c r="C42" s="7">
        <v>14057.01</v>
      </c>
      <c r="D42" s="4">
        <v>0.19863660520857959</v>
      </c>
      <c r="E42" t="s">
        <v>6</v>
      </c>
    </row>
    <row r="43" spans="1:5" s="1" customFormat="1" x14ac:dyDescent="0.35">
      <c r="A43" s="5">
        <v>44712</v>
      </c>
      <c r="B43" s="2" t="s">
        <v>7</v>
      </c>
      <c r="C43" s="7">
        <v>3198.26</v>
      </c>
      <c r="D43" s="4">
        <v>4.5193928792423982E-2</v>
      </c>
      <c r="E43" t="s">
        <v>6</v>
      </c>
    </row>
    <row r="44" spans="1:5" x14ac:dyDescent="0.35">
      <c r="A44" s="5">
        <v>44712</v>
      </c>
      <c r="B44" s="2" t="s">
        <v>8</v>
      </c>
      <c r="C44" s="7">
        <v>26102.2</v>
      </c>
      <c r="D44" s="4">
        <v>0.36884461179691741</v>
      </c>
      <c r="E44" t="s">
        <v>6</v>
      </c>
    </row>
    <row r="45" spans="1:5" x14ac:dyDescent="0.35">
      <c r="A45" s="5">
        <v>44712</v>
      </c>
      <c r="B45" s="2" t="s">
        <v>9</v>
      </c>
      <c r="C45" s="7">
        <v>-25598.639999999999</v>
      </c>
      <c r="D45" s="19">
        <v>1</v>
      </c>
      <c r="E45" t="s">
        <v>10</v>
      </c>
    </row>
    <row r="46" spans="1:5" x14ac:dyDescent="0.35">
      <c r="A46" s="5">
        <v>44712</v>
      </c>
      <c r="B46" s="2" t="s">
        <v>11</v>
      </c>
      <c r="C46" s="7">
        <v>27410</v>
      </c>
      <c r="D46" s="4">
        <v>0.38732485420207902</v>
      </c>
      <c r="E46" t="s">
        <v>12</v>
      </c>
    </row>
    <row r="47" spans="1:5" x14ac:dyDescent="0.35">
      <c r="A47" s="5">
        <v>44712</v>
      </c>
      <c r="B47" s="2" t="s">
        <v>13</v>
      </c>
      <c r="C47" s="7">
        <v>0</v>
      </c>
      <c r="D47" s="4">
        <v>0</v>
      </c>
      <c r="E47" t="s">
        <v>12</v>
      </c>
    </row>
    <row r="48" spans="1:5" x14ac:dyDescent="0.35">
      <c r="A48" s="5">
        <v>44712</v>
      </c>
      <c r="B48" s="2" t="s">
        <v>14</v>
      </c>
      <c r="C48" s="7">
        <v>0</v>
      </c>
      <c r="D48" s="4">
        <v>0</v>
      </c>
      <c r="E48" t="s">
        <v>6</v>
      </c>
    </row>
    <row r="49" spans="1:5" x14ac:dyDescent="0.35">
      <c r="A49" s="5">
        <v>44712</v>
      </c>
      <c r="B49" s="3" t="s">
        <v>15</v>
      </c>
      <c r="C49" s="8">
        <v>45168.83</v>
      </c>
      <c r="D49" s="6">
        <v>1</v>
      </c>
      <c r="E49" s="1" t="s">
        <v>10</v>
      </c>
    </row>
    <row r="50" spans="1:5" s="1" customFormat="1" x14ac:dyDescent="0.35">
      <c r="A50" s="5">
        <v>44742</v>
      </c>
      <c r="B50" s="2" t="s">
        <v>5</v>
      </c>
      <c r="C50" s="7">
        <v>13643.390000000001</v>
      </c>
      <c r="D50" s="4">
        <v>0.21085398879895514</v>
      </c>
      <c r="E50" t="s">
        <v>6</v>
      </c>
    </row>
    <row r="51" spans="1:5" x14ac:dyDescent="0.35">
      <c r="A51" s="5">
        <v>44742</v>
      </c>
      <c r="B51" s="2" t="s">
        <v>7</v>
      </c>
      <c r="C51" s="7">
        <v>2335.12</v>
      </c>
      <c r="D51" s="4">
        <v>3.6088491666969577E-2</v>
      </c>
      <c r="E51" t="s">
        <v>6</v>
      </c>
    </row>
    <row r="52" spans="1:5" x14ac:dyDescent="0.35">
      <c r="A52" s="5">
        <v>44742</v>
      </c>
      <c r="B52" s="2" t="s">
        <v>8</v>
      </c>
      <c r="C52" s="7">
        <v>25233.881999999998</v>
      </c>
      <c r="D52" s="4">
        <v>0.38998113171155813</v>
      </c>
      <c r="E52" t="s">
        <v>6</v>
      </c>
    </row>
    <row r="53" spans="1:5" x14ac:dyDescent="0.35">
      <c r="A53" s="5">
        <v>44742</v>
      </c>
      <c r="B53" s="2" t="s">
        <v>9</v>
      </c>
      <c r="C53" s="7">
        <v>-25598.639999999999</v>
      </c>
      <c r="D53" s="19">
        <v>1</v>
      </c>
      <c r="E53" t="s">
        <v>10</v>
      </c>
    </row>
    <row r="54" spans="1:5" x14ac:dyDescent="0.35">
      <c r="A54" s="5">
        <v>44742</v>
      </c>
      <c r="B54" s="2" t="s">
        <v>11</v>
      </c>
      <c r="C54" s="7">
        <v>23493</v>
      </c>
      <c r="D54" s="4">
        <v>0.36307638782251717</v>
      </c>
      <c r="E54" t="s">
        <v>12</v>
      </c>
    </row>
    <row r="55" spans="1:5" x14ac:dyDescent="0.35">
      <c r="A55" s="5">
        <v>44742</v>
      </c>
      <c r="B55" s="2" t="s">
        <v>13</v>
      </c>
      <c r="C55" s="7">
        <v>0</v>
      </c>
      <c r="D55" s="4">
        <v>0</v>
      </c>
      <c r="E55" t="s">
        <v>12</v>
      </c>
    </row>
    <row r="56" spans="1:5" x14ac:dyDescent="0.35">
      <c r="A56" s="5">
        <v>44742</v>
      </c>
      <c r="B56" s="2" t="s">
        <v>14</v>
      </c>
      <c r="C56" s="7">
        <v>0</v>
      </c>
      <c r="D56" s="4">
        <v>0</v>
      </c>
      <c r="E56" t="s">
        <v>6</v>
      </c>
    </row>
    <row r="57" spans="1:5" s="1" customFormat="1" x14ac:dyDescent="0.35">
      <c r="A57" s="5">
        <v>44742</v>
      </c>
      <c r="B57" s="3" t="s">
        <v>15</v>
      </c>
      <c r="C57" s="8">
        <v>39106.752</v>
      </c>
      <c r="D57" s="6">
        <v>1</v>
      </c>
      <c r="E57" s="1" t="s">
        <v>10</v>
      </c>
    </row>
    <row r="58" spans="1:5" x14ac:dyDescent="0.35">
      <c r="A58" s="5">
        <v>44773</v>
      </c>
      <c r="B58" s="2" t="s">
        <v>5</v>
      </c>
      <c r="C58" s="7">
        <v>12483.41</v>
      </c>
      <c r="D58" s="17">
        <v>0.18847295419652207</v>
      </c>
      <c r="E58" t="s">
        <v>6</v>
      </c>
    </row>
    <row r="59" spans="1:5" x14ac:dyDescent="0.35">
      <c r="A59" s="5">
        <v>44773</v>
      </c>
      <c r="B59" s="2" t="s">
        <v>7</v>
      </c>
      <c r="C59" s="7">
        <v>2966.93</v>
      </c>
      <c r="D59" s="4">
        <v>4.4794336002285211E-2</v>
      </c>
      <c r="E59" t="s">
        <v>6</v>
      </c>
    </row>
    <row r="60" spans="1:5" x14ac:dyDescent="0.35">
      <c r="A60" s="5">
        <v>44773</v>
      </c>
      <c r="B60" s="2" t="s">
        <v>8</v>
      </c>
      <c r="C60" s="7">
        <v>27291.15</v>
      </c>
      <c r="D60" s="4">
        <v>0.4120383504123003</v>
      </c>
      <c r="E60" t="s">
        <v>6</v>
      </c>
    </row>
    <row r="61" spans="1:5" x14ac:dyDescent="0.35">
      <c r="A61" s="5">
        <v>44773</v>
      </c>
      <c r="B61" s="2" t="s">
        <v>9</v>
      </c>
      <c r="C61" s="7">
        <v>-25598.639999999999</v>
      </c>
      <c r="D61" s="19">
        <v>1</v>
      </c>
      <c r="E61" t="s">
        <v>10</v>
      </c>
    </row>
    <row r="62" spans="1:5" x14ac:dyDescent="0.35">
      <c r="A62" s="5">
        <v>44773</v>
      </c>
      <c r="B62" s="2" t="s">
        <v>11</v>
      </c>
      <c r="C62" s="7">
        <v>23493</v>
      </c>
      <c r="D62" s="4">
        <v>0.35469435938889238</v>
      </c>
      <c r="E62" t="s">
        <v>12</v>
      </c>
    </row>
    <row r="63" spans="1:5" x14ac:dyDescent="0.35">
      <c r="A63" s="5">
        <v>44773</v>
      </c>
      <c r="B63" s="2" t="s">
        <v>13</v>
      </c>
      <c r="C63" s="7">
        <v>0</v>
      </c>
      <c r="D63" s="4">
        <v>0</v>
      </c>
      <c r="E63" t="s">
        <v>12</v>
      </c>
    </row>
    <row r="64" spans="1:5" s="1" customFormat="1" x14ac:dyDescent="0.35">
      <c r="A64" s="5">
        <v>44773</v>
      </c>
      <c r="B64" s="2" t="s">
        <v>14</v>
      </c>
      <c r="C64" s="7">
        <v>0</v>
      </c>
      <c r="D64" s="4">
        <v>0</v>
      </c>
      <c r="E64" t="s">
        <v>6</v>
      </c>
    </row>
    <row r="65" spans="1:5" x14ac:dyDescent="0.35">
      <c r="A65" s="5">
        <v>44773</v>
      </c>
      <c r="B65" s="3" t="s">
        <v>15</v>
      </c>
      <c r="C65" s="8">
        <v>40635.850000000006</v>
      </c>
      <c r="D65" s="6">
        <v>1</v>
      </c>
      <c r="E65" s="1" t="s">
        <v>10</v>
      </c>
    </row>
    <row r="66" spans="1:5" x14ac:dyDescent="0.35">
      <c r="A66" s="5">
        <v>44804</v>
      </c>
      <c r="B66" s="2" t="s">
        <v>5</v>
      </c>
      <c r="C66" s="7">
        <v>12387.64</v>
      </c>
      <c r="D66" s="17">
        <v>0.19015521509769445</v>
      </c>
      <c r="E66" t="s">
        <v>6</v>
      </c>
    </row>
    <row r="67" spans="1:5" x14ac:dyDescent="0.35">
      <c r="A67" s="5">
        <v>44804</v>
      </c>
      <c r="B67" s="2" t="s">
        <v>7</v>
      </c>
      <c r="C67" s="7">
        <v>2579.89</v>
      </c>
      <c r="D67" s="17">
        <v>3.9602340548998111E-2</v>
      </c>
      <c r="E67" t="s">
        <v>6</v>
      </c>
    </row>
    <row r="68" spans="1:5" x14ac:dyDescent="0.35">
      <c r="A68" s="5">
        <v>44804</v>
      </c>
      <c r="B68" s="2" t="s">
        <v>8</v>
      </c>
      <c r="C68" s="7">
        <v>26684.357</v>
      </c>
      <c r="D68" s="17">
        <v>0.40961552362505438</v>
      </c>
      <c r="E68" t="s">
        <v>6</v>
      </c>
    </row>
    <row r="69" spans="1:5" x14ac:dyDescent="0.35">
      <c r="A69" s="5">
        <v>44804</v>
      </c>
      <c r="B69" s="2" t="s">
        <v>9</v>
      </c>
      <c r="C69" s="7">
        <v>-25598.639999999999</v>
      </c>
      <c r="D69" s="19">
        <v>1</v>
      </c>
      <c r="E69" t="s">
        <v>10</v>
      </c>
    </row>
    <row r="70" spans="1:5" x14ac:dyDescent="0.35">
      <c r="A70" s="5">
        <v>44804</v>
      </c>
      <c r="B70" s="2" t="s">
        <v>11</v>
      </c>
      <c r="C70" s="7">
        <v>23493</v>
      </c>
      <c r="D70" s="17">
        <v>0.36062692072825298</v>
      </c>
      <c r="E70" t="s">
        <v>12</v>
      </c>
    </row>
    <row r="71" spans="1:5" s="1" customFormat="1" x14ac:dyDescent="0.35">
      <c r="A71" s="5">
        <v>44804</v>
      </c>
      <c r="B71" s="2" t="s">
        <v>13</v>
      </c>
      <c r="C71" s="7">
        <v>0</v>
      </c>
      <c r="D71" s="17">
        <v>0</v>
      </c>
      <c r="E71" t="s">
        <v>12</v>
      </c>
    </row>
    <row r="72" spans="1:5" x14ac:dyDescent="0.35">
      <c r="A72" s="5">
        <v>44804</v>
      </c>
      <c r="B72" s="2" t="s">
        <v>14</v>
      </c>
      <c r="C72" s="7">
        <v>0</v>
      </c>
      <c r="D72" s="17">
        <v>0</v>
      </c>
      <c r="E72" t="s">
        <v>6</v>
      </c>
    </row>
    <row r="73" spans="1:5" x14ac:dyDescent="0.35">
      <c r="A73" s="5">
        <v>44804</v>
      </c>
      <c r="B73" s="3" t="s">
        <v>15</v>
      </c>
      <c r="C73" s="8">
        <v>39546.247000000003</v>
      </c>
      <c r="D73" s="6">
        <v>1</v>
      </c>
      <c r="E73" s="1" t="s">
        <v>10</v>
      </c>
    </row>
    <row r="74" spans="1:5" x14ac:dyDescent="0.35">
      <c r="A74" s="5">
        <v>44834</v>
      </c>
      <c r="B74" s="2" t="s">
        <v>5</v>
      </c>
      <c r="C74" s="7">
        <v>12693.36</v>
      </c>
      <c r="D74" s="17">
        <v>0.20493598696894016</v>
      </c>
      <c r="E74" t="s">
        <v>6</v>
      </c>
    </row>
    <row r="75" spans="1:5" x14ac:dyDescent="0.35">
      <c r="A75" s="5">
        <v>44834</v>
      </c>
      <c r="B75" s="2" t="s">
        <v>7</v>
      </c>
      <c r="C75" s="7">
        <v>2489.37</v>
      </c>
      <c r="D75" s="17">
        <v>4.0191210040593707E-2</v>
      </c>
      <c r="E75" t="s">
        <v>6</v>
      </c>
    </row>
    <row r="76" spans="1:5" x14ac:dyDescent="0.35">
      <c r="A76" s="5">
        <v>44834</v>
      </c>
      <c r="B76" s="2" t="s">
        <v>8</v>
      </c>
      <c r="C76" s="7">
        <v>25008.44</v>
      </c>
      <c r="D76" s="17">
        <v>0.40376459298038669</v>
      </c>
      <c r="E76" t="s">
        <v>6</v>
      </c>
    </row>
    <row r="77" spans="1:5" x14ac:dyDescent="0.35">
      <c r="A77" s="5">
        <v>44834</v>
      </c>
      <c r="B77" s="2" t="s">
        <v>9</v>
      </c>
      <c r="C77" s="7">
        <v>-25598.639999999999</v>
      </c>
      <c r="D77" s="19">
        <v>1</v>
      </c>
      <c r="E77" t="s">
        <v>10</v>
      </c>
    </row>
    <row r="78" spans="1:5" s="1" customFormat="1" x14ac:dyDescent="0.35">
      <c r="A78" s="5">
        <v>44834</v>
      </c>
      <c r="B78" s="2" t="s">
        <v>11</v>
      </c>
      <c r="C78" s="7">
        <v>21747</v>
      </c>
      <c r="D78" s="17">
        <v>0.35110821001007941</v>
      </c>
      <c r="E78" t="s">
        <v>12</v>
      </c>
    </row>
    <row r="79" spans="1:5" x14ac:dyDescent="0.35">
      <c r="A79" s="5">
        <v>44834</v>
      </c>
      <c r="B79" s="2" t="s">
        <v>13</v>
      </c>
      <c r="C79" s="7">
        <v>0</v>
      </c>
      <c r="D79" s="17">
        <v>0</v>
      </c>
      <c r="E79" t="s">
        <v>12</v>
      </c>
    </row>
    <row r="80" spans="1:5" x14ac:dyDescent="0.35">
      <c r="A80" s="5">
        <v>44834</v>
      </c>
      <c r="B80" s="2" t="s">
        <v>14</v>
      </c>
      <c r="C80" s="7">
        <v>0</v>
      </c>
      <c r="D80" s="17">
        <v>0</v>
      </c>
      <c r="E80" t="s">
        <v>6</v>
      </c>
    </row>
    <row r="81" spans="1:5" x14ac:dyDescent="0.35">
      <c r="A81" s="5">
        <v>44834</v>
      </c>
      <c r="B81" s="3" t="s">
        <v>15</v>
      </c>
      <c r="C81" s="8">
        <v>36339.53</v>
      </c>
      <c r="D81" s="6">
        <v>1</v>
      </c>
      <c r="E81" s="1" t="s">
        <v>10</v>
      </c>
    </row>
    <row r="82" spans="1:5" x14ac:dyDescent="0.35">
      <c r="A82" s="5">
        <v>44865</v>
      </c>
      <c r="B82" s="2" t="s">
        <v>5</v>
      </c>
      <c r="C82" s="7">
        <v>12609.689999999999</v>
      </c>
      <c r="D82" s="17">
        <v>0.20054259476753217</v>
      </c>
      <c r="E82" t="s">
        <v>6</v>
      </c>
    </row>
    <row r="83" spans="1:5" x14ac:dyDescent="0.35">
      <c r="A83" s="5">
        <v>44865</v>
      </c>
      <c r="B83" s="2" t="s">
        <v>7</v>
      </c>
      <c r="C83" s="7">
        <v>2536.63</v>
      </c>
      <c r="D83" s="17">
        <v>4.0342178290280348E-2</v>
      </c>
      <c r="E83" t="s">
        <v>6</v>
      </c>
    </row>
    <row r="84" spans="1:5" x14ac:dyDescent="0.35">
      <c r="A84" s="5">
        <v>44865</v>
      </c>
      <c r="B84" s="2" t="s">
        <v>8</v>
      </c>
      <c r="C84" s="7">
        <v>25984.544000000005</v>
      </c>
      <c r="D84" s="17">
        <v>0.41325424158810492</v>
      </c>
      <c r="E84" t="s">
        <v>6</v>
      </c>
    </row>
    <row r="85" spans="1:5" s="1" customFormat="1" x14ac:dyDescent="0.35">
      <c r="A85" s="5">
        <v>44865</v>
      </c>
      <c r="B85" s="2" t="s">
        <v>9</v>
      </c>
      <c r="C85" s="7">
        <v>-25598.639999999999</v>
      </c>
      <c r="D85" s="19">
        <v>1</v>
      </c>
      <c r="E85" t="s">
        <v>10</v>
      </c>
    </row>
    <row r="86" spans="1:5" x14ac:dyDescent="0.35">
      <c r="A86" s="5">
        <v>44865</v>
      </c>
      <c r="B86" s="2" t="s">
        <v>11</v>
      </c>
      <c r="C86" s="7">
        <v>21747</v>
      </c>
      <c r="D86" s="17">
        <v>0.34586098535408261</v>
      </c>
      <c r="E86" t="s">
        <v>12</v>
      </c>
    </row>
    <row r="87" spans="1:5" x14ac:dyDescent="0.35">
      <c r="A87" s="5">
        <v>44865</v>
      </c>
      <c r="B87" s="2" t="s">
        <v>13</v>
      </c>
      <c r="C87" s="7">
        <v>0</v>
      </c>
      <c r="D87" s="17">
        <v>0</v>
      </c>
      <c r="E87" t="s">
        <v>12</v>
      </c>
    </row>
    <row r="88" spans="1:5" x14ac:dyDescent="0.35">
      <c r="A88" s="5">
        <v>44865</v>
      </c>
      <c r="B88" s="2" t="s">
        <v>14</v>
      </c>
      <c r="C88" s="7">
        <v>0</v>
      </c>
      <c r="D88" s="17">
        <v>0</v>
      </c>
      <c r="E88" t="s">
        <v>6</v>
      </c>
    </row>
    <row r="89" spans="1:5" x14ac:dyDescent="0.35">
      <c r="A89" s="5">
        <v>44865</v>
      </c>
      <c r="B89" s="3" t="s">
        <v>15</v>
      </c>
      <c r="C89" s="8">
        <v>37279.224000000002</v>
      </c>
      <c r="D89" s="6">
        <v>1</v>
      </c>
      <c r="E89" s="1" t="s">
        <v>10</v>
      </c>
    </row>
    <row r="90" spans="1:5" x14ac:dyDescent="0.35">
      <c r="A90" s="5">
        <v>44895</v>
      </c>
      <c r="B90" s="2" t="s">
        <v>5</v>
      </c>
      <c r="C90" s="7">
        <v>13386.59</v>
      </c>
      <c r="D90" s="17">
        <v>0.20841751040951784</v>
      </c>
      <c r="E90" t="s">
        <v>6</v>
      </c>
    </row>
    <row r="91" spans="1:5" x14ac:dyDescent="0.35">
      <c r="A91" s="5">
        <v>44895</v>
      </c>
      <c r="B91" s="2" t="s">
        <v>7</v>
      </c>
      <c r="C91" s="7">
        <v>2021.25</v>
      </c>
      <c r="D91" s="17">
        <v>3.1469096529828579E-2</v>
      </c>
      <c r="E91" t="s">
        <v>6</v>
      </c>
    </row>
    <row r="92" spans="1:5" s="1" customFormat="1" x14ac:dyDescent="0.35">
      <c r="A92" s="5">
        <v>44895</v>
      </c>
      <c r="B92" s="2" t="s">
        <v>8</v>
      </c>
      <c r="C92" s="7">
        <v>27074.84</v>
      </c>
      <c r="D92" s="17">
        <v>0.42153160345808977</v>
      </c>
      <c r="E92" t="s">
        <v>6</v>
      </c>
    </row>
    <row r="93" spans="1:5" x14ac:dyDescent="0.35">
      <c r="A93" s="5">
        <v>44895</v>
      </c>
      <c r="B93" s="2" t="s">
        <v>9</v>
      </c>
      <c r="C93" s="7">
        <v>-25598.639999999999</v>
      </c>
      <c r="D93" s="19">
        <v>1</v>
      </c>
      <c r="E93" t="s">
        <v>10</v>
      </c>
    </row>
    <row r="94" spans="1:5" x14ac:dyDescent="0.35">
      <c r="A94" s="5">
        <v>44895</v>
      </c>
      <c r="B94" s="2" t="s">
        <v>11</v>
      </c>
      <c r="C94" s="7">
        <v>21747</v>
      </c>
      <c r="D94" s="17">
        <v>0.3385817896025638</v>
      </c>
      <c r="E94" t="s">
        <v>12</v>
      </c>
    </row>
    <row r="95" spans="1:5" x14ac:dyDescent="0.35">
      <c r="A95" s="5">
        <v>44895</v>
      </c>
      <c r="B95" s="2" t="s">
        <v>13</v>
      </c>
      <c r="C95" s="7">
        <v>0</v>
      </c>
      <c r="D95" s="17">
        <v>0</v>
      </c>
      <c r="E95" t="s">
        <v>12</v>
      </c>
    </row>
    <row r="96" spans="1:5" x14ac:dyDescent="0.35">
      <c r="A96" s="5">
        <v>44895</v>
      </c>
      <c r="B96" s="2" t="s">
        <v>14</v>
      </c>
      <c r="C96" s="7">
        <v>0</v>
      </c>
      <c r="D96" s="17">
        <v>0</v>
      </c>
      <c r="E96" t="s">
        <v>6</v>
      </c>
    </row>
    <row r="97" spans="1:5" x14ac:dyDescent="0.35">
      <c r="A97" s="5">
        <v>44895</v>
      </c>
      <c r="B97" s="3" t="s">
        <v>15</v>
      </c>
      <c r="C97" s="8">
        <v>38631.040000000001</v>
      </c>
      <c r="D97" s="6">
        <v>1</v>
      </c>
      <c r="E97" s="1" t="s">
        <v>10</v>
      </c>
    </row>
    <row r="98" spans="1:5" x14ac:dyDescent="0.35">
      <c r="A98" s="5">
        <v>44926</v>
      </c>
      <c r="B98" s="2" t="s">
        <v>5</v>
      </c>
      <c r="C98" s="7">
        <v>12414.15</v>
      </c>
      <c r="D98" s="17">
        <v>0.19184583162246854</v>
      </c>
      <c r="E98" t="s">
        <v>6</v>
      </c>
    </row>
    <row r="99" spans="1:5" s="1" customFormat="1" x14ac:dyDescent="0.35">
      <c r="A99" s="5">
        <v>44926</v>
      </c>
      <c r="B99" s="2" t="s">
        <v>7</v>
      </c>
      <c r="C99" s="7">
        <v>1690.66</v>
      </c>
      <c r="D99" s="17">
        <v>2.6127127003527643E-2</v>
      </c>
      <c r="E99" t="s">
        <v>6</v>
      </c>
    </row>
    <row r="100" spans="1:5" x14ac:dyDescent="0.35">
      <c r="A100" s="5">
        <v>44926</v>
      </c>
      <c r="B100" s="2" t="s">
        <v>8</v>
      </c>
      <c r="C100" s="7">
        <v>27967.18</v>
      </c>
      <c r="D100" s="17">
        <v>0.43219929719193578</v>
      </c>
      <c r="E100" t="s">
        <v>6</v>
      </c>
    </row>
    <row r="101" spans="1:5" x14ac:dyDescent="0.35">
      <c r="A101" s="5">
        <v>44926</v>
      </c>
      <c r="B101" s="2" t="s">
        <v>9</v>
      </c>
      <c r="C101" s="7">
        <v>-25598.639999999999</v>
      </c>
      <c r="D101" s="19">
        <v>1</v>
      </c>
      <c r="E101" t="s">
        <v>10</v>
      </c>
    </row>
    <row r="102" spans="1:5" x14ac:dyDescent="0.35">
      <c r="A102" s="5">
        <v>44926</v>
      </c>
      <c r="B102" s="2" t="s">
        <v>11</v>
      </c>
      <c r="C102" s="7">
        <v>22637</v>
      </c>
      <c r="D102" s="17">
        <v>0.34982774418206808</v>
      </c>
      <c r="E102" t="s">
        <v>12</v>
      </c>
    </row>
    <row r="103" spans="1:5" x14ac:dyDescent="0.35">
      <c r="A103" s="5">
        <v>44926</v>
      </c>
      <c r="B103" s="2" t="s">
        <v>13</v>
      </c>
      <c r="C103" s="7">
        <v>0</v>
      </c>
      <c r="D103" s="17">
        <v>0</v>
      </c>
      <c r="E103" t="s">
        <v>12</v>
      </c>
    </row>
    <row r="104" spans="1:5" x14ac:dyDescent="0.35">
      <c r="A104" s="5">
        <v>44926</v>
      </c>
      <c r="B104" s="2" t="s">
        <v>14</v>
      </c>
      <c r="C104" s="7">
        <v>0</v>
      </c>
      <c r="D104" s="17">
        <v>0</v>
      </c>
      <c r="E104" t="s">
        <v>6</v>
      </c>
    </row>
    <row r="105" spans="1:5" x14ac:dyDescent="0.35">
      <c r="A105" s="5">
        <v>44926</v>
      </c>
      <c r="B105" s="3" t="s">
        <v>15</v>
      </c>
      <c r="C105" s="8">
        <v>39110.35</v>
      </c>
      <c r="D105" s="6">
        <v>1</v>
      </c>
      <c r="E105" s="1" t="s">
        <v>10</v>
      </c>
    </row>
    <row r="106" spans="1:5" s="1" customFormat="1" x14ac:dyDescent="0.35">
      <c r="A106" s="5">
        <v>44957</v>
      </c>
      <c r="B106" s="2" t="s">
        <v>5</v>
      </c>
      <c r="C106" s="7">
        <v>12423.19</v>
      </c>
      <c r="D106" s="17">
        <v>0.18872541274982227</v>
      </c>
      <c r="E106" t="s">
        <v>6</v>
      </c>
    </row>
    <row r="107" spans="1:5" x14ac:dyDescent="0.35">
      <c r="A107" s="5">
        <v>44957</v>
      </c>
      <c r="B107" s="2" t="s">
        <v>7</v>
      </c>
      <c r="C107" s="7">
        <v>2401.4899999999998</v>
      </c>
      <c r="D107" s="17">
        <v>3.6481949601074329E-2</v>
      </c>
      <c r="E107" t="s">
        <v>6</v>
      </c>
    </row>
    <row r="108" spans="1:5" x14ac:dyDescent="0.35">
      <c r="A108" s="5">
        <v>44957</v>
      </c>
      <c r="B108" s="2" t="s">
        <v>8</v>
      </c>
      <c r="C108" s="7">
        <v>28365.120000000003</v>
      </c>
      <c r="D108" s="17">
        <v>0.43090534554315268</v>
      </c>
      <c r="E108" t="s">
        <v>6</v>
      </c>
    </row>
    <row r="109" spans="1:5" x14ac:dyDescent="0.35">
      <c r="A109" s="5">
        <v>44957</v>
      </c>
      <c r="B109" s="2" t="s">
        <v>9</v>
      </c>
      <c r="C109" s="7">
        <v>-25598.639999999999</v>
      </c>
      <c r="D109" s="19">
        <v>1</v>
      </c>
      <c r="E109" t="s">
        <v>10</v>
      </c>
    </row>
    <row r="110" spans="1:5" x14ac:dyDescent="0.35">
      <c r="A110" s="5">
        <v>44957</v>
      </c>
      <c r="B110" s="2" t="s">
        <v>11</v>
      </c>
      <c r="C110" s="7">
        <v>22637</v>
      </c>
      <c r="D110" s="17">
        <v>0.34388729210595076</v>
      </c>
      <c r="E110" t="s">
        <v>12</v>
      </c>
    </row>
    <row r="111" spans="1:5" x14ac:dyDescent="0.35">
      <c r="A111" s="5">
        <v>44957</v>
      </c>
      <c r="B111" s="2" t="s">
        <v>13</v>
      </c>
      <c r="C111" s="7">
        <v>0</v>
      </c>
      <c r="D111" s="17">
        <v>0</v>
      </c>
      <c r="E111" t="s">
        <v>12</v>
      </c>
    </row>
    <row r="112" spans="1:5" x14ac:dyDescent="0.35">
      <c r="A112" s="5">
        <v>44957</v>
      </c>
      <c r="B112" s="2" t="s">
        <v>14</v>
      </c>
      <c r="C112" s="7">
        <v>0</v>
      </c>
      <c r="D112" s="17">
        <v>0</v>
      </c>
      <c r="E112" t="s">
        <v>6</v>
      </c>
    </row>
    <row r="113" spans="1:5" s="1" customFormat="1" x14ac:dyDescent="0.35">
      <c r="A113" s="5">
        <v>44957</v>
      </c>
      <c r="B113" s="3" t="s">
        <v>15</v>
      </c>
      <c r="C113" s="8">
        <v>40228.160000000003</v>
      </c>
      <c r="D113" s="6">
        <v>1</v>
      </c>
      <c r="E113" s="1" t="s">
        <v>10</v>
      </c>
    </row>
    <row r="114" spans="1:5" x14ac:dyDescent="0.35">
      <c r="A114" s="5">
        <v>44985</v>
      </c>
      <c r="B114" s="2" t="s">
        <v>5</v>
      </c>
      <c r="C114" s="7">
        <v>12785.51</v>
      </c>
      <c r="D114" s="17">
        <v>0.19087773112594619</v>
      </c>
      <c r="E114" t="s">
        <v>6</v>
      </c>
    </row>
    <row r="115" spans="1:5" x14ac:dyDescent="0.35">
      <c r="A115" s="5">
        <v>44985</v>
      </c>
      <c r="B115" s="2" t="s">
        <v>7</v>
      </c>
      <c r="C115" s="7">
        <v>3132.79</v>
      </c>
      <c r="D115" s="17">
        <v>4.6770120808169009E-2</v>
      </c>
      <c r="E115" t="s">
        <v>6</v>
      </c>
    </row>
    <row r="116" spans="1:5" x14ac:dyDescent="0.35">
      <c r="A116" s="5">
        <v>44985</v>
      </c>
      <c r="B116" s="2" t="s">
        <v>8</v>
      </c>
      <c r="C116" s="7">
        <v>28427.421999999999</v>
      </c>
      <c r="D116" s="17">
        <v>0.42439932494830535</v>
      </c>
      <c r="E116" t="s">
        <v>6</v>
      </c>
    </row>
    <row r="117" spans="1:5" x14ac:dyDescent="0.35">
      <c r="A117" s="5">
        <v>44985</v>
      </c>
      <c r="B117" s="2" t="s">
        <v>9</v>
      </c>
      <c r="C117" s="7">
        <v>-25598.639999999999</v>
      </c>
      <c r="D117" s="19">
        <v>1</v>
      </c>
      <c r="E117" t="s">
        <v>10</v>
      </c>
    </row>
    <row r="118" spans="1:5" x14ac:dyDescent="0.35">
      <c r="A118" s="5">
        <v>44985</v>
      </c>
      <c r="B118" s="2" t="s">
        <v>11</v>
      </c>
      <c r="C118" s="7">
        <v>22637</v>
      </c>
      <c r="D118" s="17">
        <v>0.33795282311757951</v>
      </c>
      <c r="E118" t="s">
        <v>12</v>
      </c>
    </row>
    <row r="119" spans="1:5" x14ac:dyDescent="0.35">
      <c r="A119" s="5">
        <v>44985</v>
      </c>
      <c r="B119" s="2" t="s">
        <v>13</v>
      </c>
      <c r="C119" s="7">
        <v>0</v>
      </c>
      <c r="D119" s="17">
        <v>0</v>
      </c>
      <c r="E119" t="s">
        <v>12</v>
      </c>
    </row>
    <row r="120" spans="1:5" s="1" customFormat="1" x14ac:dyDescent="0.35">
      <c r="A120" s="5">
        <v>44985</v>
      </c>
      <c r="B120" s="2" t="s">
        <v>14</v>
      </c>
      <c r="C120" s="7">
        <v>0</v>
      </c>
      <c r="D120" s="17">
        <v>0</v>
      </c>
      <c r="E120" t="s">
        <v>6</v>
      </c>
    </row>
    <row r="121" spans="1:5" x14ac:dyDescent="0.35">
      <c r="A121" s="5">
        <v>44985</v>
      </c>
      <c r="B121" s="3" t="s">
        <v>15</v>
      </c>
      <c r="C121" s="8">
        <v>41384.081999999995</v>
      </c>
      <c r="D121" s="6">
        <v>1</v>
      </c>
      <c r="E121" s="1" t="s">
        <v>10</v>
      </c>
    </row>
    <row r="122" spans="1:5" x14ac:dyDescent="0.35">
      <c r="A122" s="5">
        <v>45016</v>
      </c>
      <c r="B122" s="2" t="s">
        <v>5</v>
      </c>
      <c r="C122" s="7">
        <v>10931.38</v>
      </c>
      <c r="D122" s="17">
        <v>0.16100972314095174</v>
      </c>
      <c r="E122" t="s">
        <v>6</v>
      </c>
    </row>
    <row r="123" spans="1:5" x14ac:dyDescent="0.35">
      <c r="A123" s="5">
        <v>45016</v>
      </c>
      <c r="B123" s="2" t="s">
        <v>7</v>
      </c>
      <c r="C123" s="7">
        <v>3425.03</v>
      </c>
      <c r="D123" s="17">
        <v>5.044771401684453E-2</v>
      </c>
      <c r="E123" t="s">
        <v>6</v>
      </c>
    </row>
    <row r="124" spans="1:5" x14ac:dyDescent="0.35">
      <c r="A124" s="5">
        <v>45016</v>
      </c>
      <c r="B124" s="2" t="s">
        <v>8</v>
      </c>
      <c r="C124" s="7">
        <v>28521.259999999995</v>
      </c>
      <c r="D124" s="17">
        <v>0.42009336206692116</v>
      </c>
      <c r="E124" t="s">
        <v>6</v>
      </c>
    </row>
    <row r="125" spans="1:5" x14ac:dyDescent="0.35">
      <c r="A125" s="5">
        <v>45016</v>
      </c>
      <c r="B125" s="2" t="s">
        <v>9</v>
      </c>
      <c r="C125" s="7">
        <v>-25598.639999999999</v>
      </c>
      <c r="D125" s="19">
        <v>1</v>
      </c>
      <c r="E125" t="s">
        <v>10</v>
      </c>
    </row>
    <row r="126" spans="1:5" x14ac:dyDescent="0.35">
      <c r="A126" s="5">
        <v>45016</v>
      </c>
      <c r="B126" s="2" t="s">
        <v>11</v>
      </c>
      <c r="C126" s="7">
        <v>25015</v>
      </c>
      <c r="D126" s="17">
        <v>0.36844920077528254</v>
      </c>
      <c r="E126" t="s">
        <v>12</v>
      </c>
    </row>
    <row r="127" spans="1:5" s="1" customFormat="1" x14ac:dyDescent="0.35">
      <c r="A127" s="5">
        <v>45016</v>
      </c>
      <c r="B127" s="2" t="s">
        <v>13</v>
      </c>
      <c r="C127" s="7">
        <v>0</v>
      </c>
      <c r="D127" s="17">
        <v>0</v>
      </c>
      <c r="E127" t="s">
        <v>12</v>
      </c>
    </row>
    <row r="128" spans="1:5" x14ac:dyDescent="0.35">
      <c r="A128" s="5">
        <v>45016</v>
      </c>
      <c r="B128" s="2" t="s">
        <v>14</v>
      </c>
      <c r="C128" s="7">
        <v>0</v>
      </c>
      <c r="D128" s="17">
        <v>0</v>
      </c>
      <c r="E128" t="s">
        <v>6</v>
      </c>
    </row>
    <row r="129" spans="1:5" x14ac:dyDescent="0.35">
      <c r="A129" s="5">
        <v>45016</v>
      </c>
      <c r="B129" s="3" t="s">
        <v>15</v>
      </c>
      <c r="C129" s="8">
        <v>42294.03</v>
      </c>
      <c r="D129" s="6">
        <v>1</v>
      </c>
      <c r="E129" s="1" t="s">
        <v>10</v>
      </c>
    </row>
    <row r="130" spans="1:5" x14ac:dyDescent="0.35">
      <c r="A130" s="5">
        <v>45046</v>
      </c>
      <c r="B130" s="2" t="s">
        <v>5</v>
      </c>
      <c r="C130" s="7">
        <v>10905.24</v>
      </c>
      <c r="D130" s="17">
        <v>0.16024293499231937</v>
      </c>
      <c r="E130" t="s">
        <v>6</v>
      </c>
    </row>
    <row r="131" spans="1:5" x14ac:dyDescent="0.35">
      <c r="A131" s="5">
        <v>45046</v>
      </c>
      <c r="B131" s="2" t="s">
        <v>7</v>
      </c>
      <c r="C131" s="7">
        <v>3400.28</v>
      </c>
      <c r="D131" s="17">
        <v>4.9964131646408866E-2</v>
      </c>
      <c r="E131" t="s">
        <v>6</v>
      </c>
    </row>
    <row r="132" spans="1:5" x14ac:dyDescent="0.35">
      <c r="A132" s="5">
        <v>45046</v>
      </c>
      <c r="B132" s="2" t="s">
        <v>8</v>
      </c>
      <c r="C132" s="7">
        <v>28733.899999999998</v>
      </c>
      <c r="D132" s="17">
        <v>0.42221945319642717</v>
      </c>
      <c r="E132" t="s">
        <v>6</v>
      </c>
    </row>
    <row r="133" spans="1:5" x14ac:dyDescent="0.35">
      <c r="A133" s="5">
        <v>45046</v>
      </c>
      <c r="B133" s="2" t="s">
        <v>9</v>
      </c>
      <c r="C133" s="7">
        <v>-25598.639999999999</v>
      </c>
      <c r="D133" s="19">
        <v>1</v>
      </c>
      <c r="E133" t="s">
        <v>10</v>
      </c>
    </row>
    <row r="134" spans="1:5" s="1" customFormat="1" x14ac:dyDescent="0.35">
      <c r="A134" s="5">
        <v>45046</v>
      </c>
      <c r="B134" s="2" t="s">
        <v>11</v>
      </c>
      <c r="C134" s="7">
        <v>25015</v>
      </c>
      <c r="D134" s="17">
        <v>0.36757348016484453</v>
      </c>
      <c r="E134" t="s">
        <v>12</v>
      </c>
    </row>
    <row r="135" spans="1:5" x14ac:dyDescent="0.35">
      <c r="A135" s="5">
        <v>45046</v>
      </c>
      <c r="B135" s="2" t="s">
        <v>13</v>
      </c>
      <c r="C135" s="7">
        <v>0</v>
      </c>
      <c r="D135" s="17">
        <v>0</v>
      </c>
      <c r="E135" t="s">
        <v>12</v>
      </c>
    </row>
    <row r="136" spans="1:5" x14ac:dyDescent="0.35">
      <c r="A136" s="5">
        <v>45046</v>
      </c>
      <c r="B136" s="2" t="s">
        <v>14</v>
      </c>
      <c r="C136" s="7">
        <v>0</v>
      </c>
      <c r="D136" s="17">
        <v>0</v>
      </c>
      <c r="E136" t="s">
        <v>6</v>
      </c>
    </row>
    <row r="137" spans="1:5" x14ac:dyDescent="0.35">
      <c r="A137" s="5">
        <v>45046</v>
      </c>
      <c r="B137" s="3" t="s">
        <v>15</v>
      </c>
      <c r="C137" s="8">
        <v>42455.78</v>
      </c>
      <c r="D137" s="6">
        <v>1</v>
      </c>
      <c r="E137" s="1" t="s">
        <v>10</v>
      </c>
    </row>
    <row r="138" spans="1:5" x14ac:dyDescent="0.35">
      <c r="A138" s="5">
        <v>45077</v>
      </c>
      <c r="B138" s="2" t="s">
        <v>5</v>
      </c>
      <c r="C138" s="7">
        <v>11138.15</v>
      </c>
      <c r="D138" s="17">
        <v>0.16322812163716569</v>
      </c>
      <c r="E138" t="s">
        <v>6</v>
      </c>
    </row>
    <row r="139" spans="1:5" x14ac:dyDescent="0.35">
      <c r="A139" s="5">
        <v>45077</v>
      </c>
      <c r="B139" s="2" t="s">
        <v>7</v>
      </c>
      <c r="C139" s="7">
        <v>3298.25</v>
      </c>
      <c r="D139" s="17">
        <v>4.8335419453839443E-2</v>
      </c>
      <c r="E139" t="s">
        <v>6</v>
      </c>
    </row>
    <row r="140" spans="1:5" x14ac:dyDescent="0.35">
      <c r="A140" s="5">
        <v>45077</v>
      </c>
      <c r="B140" s="2" t="s">
        <v>8</v>
      </c>
      <c r="C140" s="7">
        <v>28785.309999999998</v>
      </c>
      <c r="D140" s="17">
        <v>0.42184492775223192</v>
      </c>
      <c r="E140" t="s">
        <v>6</v>
      </c>
    </row>
    <row r="141" spans="1:5" s="1" customFormat="1" x14ac:dyDescent="0.35">
      <c r="A141" s="5">
        <v>45077</v>
      </c>
      <c r="B141" s="2" t="s">
        <v>9</v>
      </c>
      <c r="C141" s="7">
        <v>-25598.639999999999</v>
      </c>
      <c r="D141" s="19">
        <v>1</v>
      </c>
      <c r="E141" t="s">
        <v>10</v>
      </c>
    </row>
    <row r="142" spans="1:5" x14ac:dyDescent="0.35">
      <c r="A142" s="5">
        <v>45077</v>
      </c>
      <c r="B142" s="2" t="s">
        <v>11</v>
      </c>
      <c r="C142" s="7">
        <v>25015</v>
      </c>
      <c r="D142" s="17">
        <v>0.36659153115676302</v>
      </c>
      <c r="E142" t="s">
        <v>12</v>
      </c>
    </row>
    <row r="143" spans="1:5" x14ac:dyDescent="0.35">
      <c r="A143" s="5">
        <v>45077</v>
      </c>
      <c r="B143" s="2" t="s">
        <v>13</v>
      </c>
      <c r="C143" s="7">
        <v>0</v>
      </c>
      <c r="D143" s="17">
        <v>0</v>
      </c>
      <c r="E143" t="s">
        <v>12</v>
      </c>
    </row>
    <row r="144" spans="1:5" x14ac:dyDescent="0.35">
      <c r="A144" s="5">
        <v>45077</v>
      </c>
      <c r="B144" s="2" t="s">
        <v>14</v>
      </c>
      <c r="C144" s="7">
        <v>0</v>
      </c>
      <c r="D144" s="17">
        <v>0</v>
      </c>
      <c r="E144" t="s">
        <v>6</v>
      </c>
    </row>
    <row r="145" spans="1:5" x14ac:dyDescent="0.35">
      <c r="A145" s="5">
        <v>45077</v>
      </c>
      <c r="B145" s="3" t="s">
        <v>15</v>
      </c>
      <c r="C145" s="8">
        <v>42638.07</v>
      </c>
      <c r="D145" s="6">
        <v>1</v>
      </c>
      <c r="E145" s="1" t="s">
        <v>10</v>
      </c>
    </row>
    <row r="146" spans="1:5" x14ac:dyDescent="0.35">
      <c r="A146" s="5">
        <v>45107</v>
      </c>
      <c r="B146" s="2" t="s">
        <v>5</v>
      </c>
      <c r="C146" s="7">
        <v>11724.960000000001</v>
      </c>
      <c r="D146" s="17">
        <v>0.17018460120930903</v>
      </c>
      <c r="E146" t="s">
        <v>6</v>
      </c>
    </row>
    <row r="147" spans="1:5" x14ac:dyDescent="0.35">
      <c r="A147" s="5">
        <v>45107</v>
      </c>
      <c r="B147" s="2" t="s">
        <v>7</v>
      </c>
      <c r="C147" s="7">
        <v>2339.75</v>
      </c>
      <c r="D147" s="17">
        <v>3.3960834039474828E-2</v>
      </c>
      <c r="E147" t="s">
        <v>6</v>
      </c>
    </row>
    <row r="148" spans="1:5" s="1" customFormat="1" x14ac:dyDescent="0.35">
      <c r="A148" s="5">
        <v>45107</v>
      </c>
      <c r="B148" s="2" t="s">
        <v>8</v>
      </c>
      <c r="C148" s="7">
        <v>29661.83</v>
      </c>
      <c r="D148" s="17">
        <v>0.43053338430905685</v>
      </c>
      <c r="E148" t="s">
        <v>6</v>
      </c>
    </row>
    <row r="149" spans="1:5" x14ac:dyDescent="0.35">
      <c r="A149" s="5">
        <v>45107</v>
      </c>
      <c r="B149" s="2" t="s">
        <v>9</v>
      </c>
      <c r="C149" s="7">
        <v>-25598.639999999999</v>
      </c>
      <c r="D149" s="19">
        <v>1</v>
      </c>
      <c r="E149" t="s">
        <v>10</v>
      </c>
    </row>
    <row r="150" spans="1:5" x14ac:dyDescent="0.35">
      <c r="A150" s="5">
        <v>45107</v>
      </c>
      <c r="B150" s="2" t="s">
        <v>11</v>
      </c>
      <c r="C150" s="7">
        <v>25169</v>
      </c>
      <c r="D150" s="17">
        <v>0.36532118044215922</v>
      </c>
      <c r="E150" t="s">
        <v>12</v>
      </c>
    </row>
    <row r="151" spans="1:5" x14ac:dyDescent="0.35">
      <c r="A151" s="5">
        <v>45107</v>
      </c>
      <c r="B151" s="2" t="s">
        <v>13</v>
      </c>
      <c r="C151" s="7">
        <v>0</v>
      </c>
      <c r="D151" s="17">
        <v>0</v>
      </c>
      <c r="E151" t="s">
        <v>12</v>
      </c>
    </row>
    <row r="152" spans="1:5" x14ac:dyDescent="0.35">
      <c r="A152" s="5">
        <v>45107</v>
      </c>
      <c r="B152" s="2" t="s">
        <v>14</v>
      </c>
      <c r="C152" s="7">
        <v>0</v>
      </c>
      <c r="D152" s="17">
        <v>0</v>
      </c>
      <c r="E152" t="s">
        <v>6</v>
      </c>
    </row>
    <row r="153" spans="1:5" x14ac:dyDescent="0.35">
      <c r="A153" s="5">
        <v>45107</v>
      </c>
      <c r="B153" s="3" t="s">
        <v>15</v>
      </c>
      <c r="C153" s="8">
        <v>43296.9</v>
      </c>
      <c r="D153" s="6">
        <v>1</v>
      </c>
      <c r="E153" s="1" t="s">
        <v>10</v>
      </c>
    </row>
    <row r="154" spans="1:5" x14ac:dyDescent="0.35">
      <c r="A154" s="5">
        <v>45138</v>
      </c>
      <c r="B154" s="2" t="s">
        <v>5</v>
      </c>
      <c r="C154" s="7">
        <v>11735.97</v>
      </c>
      <c r="D154" s="17">
        <v>0.16890069201104591</v>
      </c>
      <c r="E154" t="s">
        <v>6</v>
      </c>
    </row>
    <row r="155" spans="1:5" s="1" customFormat="1" x14ac:dyDescent="0.35">
      <c r="A155" s="5">
        <v>45138</v>
      </c>
      <c r="B155" s="2" t="s">
        <v>7</v>
      </c>
      <c r="C155" s="7">
        <v>2258.7399999999998</v>
      </c>
      <c r="D155" s="17">
        <v>3.2507133971289105E-2</v>
      </c>
      <c r="E155" t="s">
        <v>6</v>
      </c>
    </row>
    <row r="156" spans="1:5" x14ac:dyDescent="0.35">
      <c r="A156" s="5">
        <v>45138</v>
      </c>
      <c r="B156" s="2" t="s">
        <v>8</v>
      </c>
      <c r="C156" s="7">
        <v>30320.73</v>
      </c>
      <c r="D156" s="17">
        <v>0.43636719242466371</v>
      </c>
      <c r="E156" t="s">
        <v>6</v>
      </c>
    </row>
    <row r="157" spans="1:5" x14ac:dyDescent="0.35">
      <c r="A157" s="5">
        <v>45138</v>
      </c>
      <c r="B157" s="2" t="s">
        <v>9</v>
      </c>
      <c r="C157" s="7">
        <v>-25598.639999999999</v>
      </c>
      <c r="D157" s="19">
        <v>1</v>
      </c>
      <c r="E157" t="s">
        <v>10</v>
      </c>
    </row>
    <row r="158" spans="1:5" x14ac:dyDescent="0.35">
      <c r="A158" s="5">
        <v>45138</v>
      </c>
      <c r="B158" s="2" t="s">
        <v>11</v>
      </c>
      <c r="C158" s="7">
        <v>25169</v>
      </c>
      <c r="D158" s="17">
        <v>0.36222498159300126</v>
      </c>
      <c r="E158" t="s">
        <v>12</v>
      </c>
    </row>
    <row r="159" spans="1:5" x14ac:dyDescent="0.35">
      <c r="A159" s="5">
        <v>45138</v>
      </c>
      <c r="B159" s="2" t="s">
        <v>13</v>
      </c>
      <c r="C159" s="7">
        <v>0</v>
      </c>
      <c r="D159" s="17">
        <v>0</v>
      </c>
      <c r="E159" t="s">
        <v>12</v>
      </c>
    </row>
    <row r="160" spans="1:5" x14ac:dyDescent="0.35">
      <c r="A160" s="5">
        <v>45138</v>
      </c>
      <c r="B160" s="2" t="s">
        <v>14</v>
      </c>
      <c r="C160" s="7">
        <v>0</v>
      </c>
      <c r="D160" s="17">
        <v>0</v>
      </c>
      <c r="E160" t="s">
        <v>6</v>
      </c>
    </row>
    <row r="161" spans="1:5" x14ac:dyDescent="0.35">
      <c r="A161" s="5">
        <v>45138</v>
      </c>
      <c r="B161" s="3" t="s">
        <v>15</v>
      </c>
      <c r="C161" s="8">
        <v>43885.8</v>
      </c>
      <c r="D161" s="6">
        <v>1</v>
      </c>
      <c r="E161" s="1" t="s">
        <v>10</v>
      </c>
    </row>
    <row r="162" spans="1:5" s="1" customFormat="1" x14ac:dyDescent="0.35">
      <c r="A162" s="5">
        <v>45169</v>
      </c>
      <c r="B162" s="2" t="s">
        <v>5</v>
      </c>
      <c r="C162" s="7">
        <v>11631.84</v>
      </c>
      <c r="D162" s="17">
        <v>0.16944951603812494</v>
      </c>
      <c r="E162" t="s">
        <v>6</v>
      </c>
    </row>
    <row r="163" spans="1:5" x14ac:dyDescent="0.35">
      <c r="A163" s="5">
        <v>45169</v>
      </c>
      <c r="B163" s="2" t="s">
        <v>7</v>
      </c>
      <c r="C163" s="7">
        <v>1977.27</v>
      </c>
      <c r="D163" s="17">
        <v>2.8804337454495874E-2</v>
      </c>
      <c r="E163" t="s">
        <v>6</v>
      </c>
    </row>
    <row r="164" spans="1:5" x14ac:dyDescent="0.35">
      <c r="A164" s="5">
        <v>45169</v>
      </c>
      <c r="B164" s="2" t="s">
        <v>8</v>
      </c>
      <c r="C164" s="7">
        <v>29866.760000000002</v>
      </c>
      <c r="D164" s="17">
        <v>0.43509092522136039</v>
      </c>
      <c r="E164" t="s">
        <v>6</v>
      </c>
    </row>
    <row r="165" spans="1:5" x14ac:dyDescent="0.35">
      <c r="A165" s="5">
        <v>45169</v>
      </c>
      <c r="B165" s="2" t="s">
        <v>9</v>
      </c>
      <c r="C165" s="7">
        <v>-25598.639999999999</v>
      </c>
      <c r="D165" s="19">
        <v>1</v>
      </c>
      <c r="E165" t="s">
        <v>10</v>
      </c>
    </row>
    <row r="166" spans="1:5" x14ac:dyDescent="0.35">
      <c r="A166" s="5">
        <v>45169</v>
      </c>
      <c r="B166" s="2" t="s">
        <v>11</v>
      </c>
      <c r="C166" s="7">
        <v>25169</v>
      </c>
      <c r="D166" s="17">
        <v>0.36665522128601891</v>
      </c>
      <c r="E166" t="s">
        <v>12</v>
      </c>
    </row>
    <row r="167" spans="1:5" x14ac:dyDescent="0.35">
      <c r="A167" s="5">
        <v>45169</v>
      </c>
      <c r="B167" s="2" t="s">
        <v>13</v>
      </c>
      <c r="C167" s="7">
        <v>0</v>
      </c>
      <c r="D167" s="17">
        <v>0</v>
      </c>
      <c r="E167" t="s">
        <v>12</v>
      </c>
    </row>
    <row r="168" spans="1:5" x14ac:dyDescent="0.35">
      <c r="A168" s="5">
        <v>45169</v>
      </c>
      <c r="B168" s="2" t="s">
        <v>14</v>
      </c>
      <c r="C168" s="7">
        <v>0</v>
      </c>
      <c r="D168" s="17">
        <v>0</v>
      </c>
      <c r="E168" t="s">
        <v>6</v>
      </c>
    </row>
    <row r="169" spans="1:5" s="1" customFormat="1" x14ac:dyDescent="0.35">
      <c r="A169" s="5">
        <v>45169</v>
      </c>
      <c r="B169" s="3" t="s">
        <v>15</v>
      </c>
      <c r="C169" s="8">
        <v>43046.23</v>
      </c>
      <c r="D169" s="6">
        <v>1</v>
      </c>
      <c r="E169" s="1" t="s">
        <v>10</v>
      </c>
    </row>
    <row r="170" spans="1:5" x14ac:dyDescent="0.35">
      <c r="A170" s="5">
        <v>45199</v>
      </c>
      <c r="B170" s="2" t="s">
        <v>5</v>
      </c>
      <c r="C170" s="7">
        <v>11123.13</v>
      </c>
      <c r="D170" s="17">
        <v>0.16816874795045317</v>
      </c>
      <c r="E170" t="s">
        <v>6</v>
      </c>
    </row>
    <row r="171" spans="1:5" x14ac:dyDescent="0.35">
      <c r="A171" s="5">
        <v>45199</v>
      </c>
      <c r="B171" s="2" t="s">
        <v>7</v>
      </c>
      <c r="C171" s="7">
        <v>2200.1999999999998</v>
      </c>
      <c r="D171" s="17">
        <v>3.3264456968549953E-2</v>
      </c>
      <c r="E171" t="s">
        <v>6</v>
      </c>
    </row>
    <row r="172" spans="1:5" x14ac:dyDescent="0.35">
      <c r="A172" s="5">
        <v>45199</v>
      </c>
      <c r="B172" s="2" t="s">
        <v>8</v>
      </c>
      <c r="C172" s="7">
        <v>29454.340000000004</v>
      </c>
      <c r="D172" s="17">
        <v>0.44531525564359598</v>
      </c>
      <c r="E172" t="s">
        <v>6</v>
      </c>
    </row>
    <row r="173" spans="1:5" x14ac:dyDescent="0.35">
      <c r="A173" s="5">
        <v>45199</v>
      </c>
      <c r="B173" s="2" t="s">
        <v>9</v>
      </c>
      <c r="C173" s="7">
        <v>-25598.639999999999</v>
      </c>
      <c r="D173" s="19">
        <v>1</v>
      </c>
      <c r="E173" t="s">
        <v>10</v>
      </c>
    </row>
    <row r="174" spans="1:5" x14ac:dyDescent="0.35">
      <c r="A174" s="5">
        <v>45199</v>
      </c>
      <c r="B174" s="2" t="s">
        <v>11</v>
      </c>
      <c r="C174" s="7">
        <v>23365</v>
      </c>
      <c r="D174" s="17">
        <v>0.35325153943740101</v>
      </c>
      <c r="E174" t="s">
        <v>12</v>
      </c>
    </row>
    <row r="175" spans="1:5" x14ac:dyDescent="0.35">
      <c r="A175" s="5">
        <v>45199</v>
      </c>
      <c r="B175" s="2" t="s">
        <v>13</v>
      </c>
      <c r="C175" s="7">
        <v>0</v>
      </c>
      <c r="D175" s="17">
        <v>0</v>
      </c>
      <c r="E175" t="s">
        <v>12</v>
      </c>
    </row>
    <row r="176" spans="1:5" s="1" customFormat="1" x14ac:dyDescent="0.35">
      <c r="A176" s="5">
        <v>45199</v>
      </c>
      <c r="B176" s="2" t="s">
        <v>14</v>
      </c>
      <c r="C176" s="7">
        <v>0</v>
      </c>
      <c r="D176" s="17">
        <v>0</v>
      </c>
      <c r="E176" t="s">
        <v>6</v>
      </c>
    </row>
    <row r="177" spans="1:5" x14ac:dyDescent="0.35">
      <c r="A177" s="5">
        <v>45199</v>
      </c>
      <c r="B177" s="3" t="s">
        <v>15</v>
      </c>
      <c r="C177" s="8">
        <v>40544.03</v>
      </c>
      <c r="D177" s="6">
        <v>1</v>
      </c>
      <c r="E177" s="1" t="s">
        <v>10</v>
      </c>
    </row>
    <row r="178" spans="1:5" x14ac:dyDescent="0.35">
      <c r="A178" s="5">
        <v>45230</v>
      </c>
      <c r="B178" s="2" t="s">
        <v>5</v>
      </c>
      <c r="C178" s="7">
        <v>11732.86</v>
      </c>
      <c r="D178" s="17">
        <v>0.17260996053594613</v>
      </c>
      <c r="E178" t="s">
        <v>6</v>
      </c>
    </row>
    <row r="179" spans="1:5" x14ac:dyDescent="0.35">
      <c r="A179" s="5">
        <v>45230</v>
      </c>
      <c r="B179" s="2" t="s">
        <v>7</v>
      </c>
      <c r="C179" s="7">
        <v>2477.5500000000002</v>
      </c>
      <c r="D179" s="17">
        <v>3.6448897176462804E-2</v>
      </c>
      <c r="E179" t="s">
        <v>6</v>
      </c>
    </row>
    <row r="180" spans="1:5" x14ac:dyDescent="0.35">
      <c r="A180" s="5">
        <v>45230</v>
      </c>
      <c r="B180" s="2" t="s">
        <v>8</v>
      </c>
      <c r="C180" s="7">
        <v>30397.84</v>
      </c>
      <c r="D180" s="17">
        <v>0.44720298058427399</v>
      </c>
      <c r="E180" t="s">
        <v>6</v>
      </c>
    </row>
    <row r="181" spans="1:5" x14ac:dyDescent="0.35">
      <c r="A181" s="5">
        <v>45230</v>
      </c>
      <c r="B181" s="2" t="s">
        <v>9</v>
      </c>
      <c r="C181" s="7">
        <v>-25598.639999999999</v>
      </c>
      <c r="D181" s="19">
        <v>1</v>
      </c>
      <c r="E181" t="s">
        <v>10</v>
      </c>
    </row>
    <row r="182" spans="1:5" x14ac:dyDescent="0.35">
      <c r="A182" s="5">
        <v>45230</v>
      </c>
      <c r="B182" s="2" t="s">
        <v>11</v>
      </c>
      <c r="C182" s="7">
        <v>23365</v>
      </c>
      <c r="D182" s="17">
        <v>0.34373816170331711</v>
      </c>
      <c r="E182" t="s">
        <v>12</v>
      </c>
    </row>
    <row r="183" spans="1:5" s="1" customFormat="1" x14ac:dyDescent="0.35">
      <c r="A183" s="5">
        <v>45230</v>
      </c>
      <c r="B183" s="2" t="s">
        <v>13</v>
      </c>
      <c r="C183" s="7">
        <v>0</v>
      </c>
      <c r="D183" s="17">
        <v>0</v>
      </c>
      <c r="E183" t="s">
        <v>12</v>
      </c>
    </row>
    <row r="184" spans="1:5" x14ac:dyDescent="0.35">
      <c r="A184" s="5">
        <v>45230</v>
      </c>
      <c r="B184" s="2" t="s">
        <v>14</v>
      </c>
      <c r="C184" s="7">
        <v>0</v>
      </c>
      <c r="D184" s="17">
        <v>0</v>
      </c>
      <c r="E184" t="s">
        <v>6</v>
      </c>
    </row>
    <row r="185" spans="1:5" x14ac:dyDescent="0.35">
      <c r="A185" s="5">
        <v>45230</v>
      </c>
      <c r="B185" s="3" t="s">
        <v>15</v>
      </c>
      <c r="C185" s="8">
        <v>42374.61</v>
      </c>
      <c r="D185" s="6">
        <v>1</v>
      </c>
      <c r="E185" s="1" t="s">
        <v>10</v>
      </c>
    </row>
    <row r="186" spans="1:5" x14ac:dyDescent="0.35">
      <c r="A186" s="5">
        <v>45260</v>
      </c>
      <c r="B186" s="2" t="s">
        <v>5</v>
      </c>
      <c r="C186" s="7">
        <v>17848.25</v>
      </c>
      <c r="D186" s="17">
        <v>0.23117069323037348</v>
      </c>
      <c r="E186" t="s">
        <v>6</v>
      </c>
    </row>
    <row r="187" spans="1:5" x14ac:dyDescent="0.35">
      <c r="A187" s="5">
        <v>45260</v>
      </c>
      <c r="B187" s="2" t="s">
        <v>7</v>
      </c>
      <c r="C187" s="7">
        <v>2805.89</v>
      </c>
      <c r="D187" s="17">
        <v>3.6341912312309196E-2</v>
      </c>
      <c r="E187" t="s">
        <v>6</v>
      </c>
    </row>
    <row r="188" spans="1:5" x14ac:dyDescent="0.35">
      <c r="A188" s="5">
        <v>45260</v>
      </c>
      <c r="B188" s="2" t="s">
        <v>8</v>
      </c>
      <c r="C188" s="7">
        <v>33188.959999999999</v>
      </c>
      <c r="D188" s="17">
        <v>0.42986370601012064</v>
      </c>
      <c r="E188" t="s">
        <v>6</v>
      </c>
    </row>
    <row r="189" spans="1:5" x14ac:dyDescent="0.35">
      <c r="A189" s="5">
        <v>45260</v>
      </c>
      <c r="B189" s="2" t="s">
        <v>9</v>
      </c>
      <c r="C189" s="7">
        <v>-25598.639999999999</v>
      </c>
      <c r="D189" s="19">
        <v>1</v>
      </c>
      <c r="E189" t="s">
        <v>10</v>
      </c>
    </row>
    <row r="190" spans="1:5" s="1" customFormat="1" x14ac:dyDescent="0.35">
      <c r="A190" s="5">
        <v>45260</v>
      </c>
      <c r="B190" s="2" t="s">
        <v>11</v>
      </c>
      <c r="C190" s="7">
        <v>23365</v>
      </c>
      <c r="D190" s="17">
        <v>0.30262368844719656</v>
      </c>
      <c r="E190" t="s">
        <v>12</v>
      </c>
    </row>
    <row r="191" spans="1:5" x14ac:dyDescent="0.35">
      <c r="A191" s="5">
        <v>45260</v>
      </c>
      <c r="B191" s="2" t="s">
        <v>13</v>
      </c>
      <c r="C191" s="7">
        <v>0</v>
      </c>
      <c r="D191" s="17">
        <v>0</v>
      </c>
      <c r="E191" t="s">
        <v>12</v>
      </c>
    </row>
    <row r="192" spans="1:5" x14ac:dyDescent="0.35">
      <c r="A192" s="5">
        <v>45260</v>
      </c>
      <c r="B192" s="2" t="s">
        <v>14</v>
      </c>
      <c r="C192" s="7">
        <v>0</v>
      </c>
      <c r="D192" s="17">
        <v>0</v>
      </c>
      <c r="E192" t="s">
        <v>6</v>
      </c>
    </row>
    <row r="193" spans="1:5" x14ac:dyDescent="0.35">
      <c r="A193" s="5">
        <v>45260</v>
      </c>
      <c r="B193" s="3" t="s">
        <v>15</v>
      </c>
      <c r="C193" s="8">
        <v>51609.46</v>
      </c>
      <c r="D193" s="6">
        <v>1</v>
      </c>
      <c r="E193" s="1" t="s">
        <v>10</v>
      </c>
    </row>
    <row r="194" spans="1:5" x14ac:dyDescent="0.35">
      <c r="A194" s="5">
        <v>45291</v>
      </c>
      <c r="B194" s="2" t="s">
        <v>5</v>
      </c>
      <c r="C194" s="7">
        <v>57194.67</v>
      </c>
      <c r="D194" s="17">
        <v>0.63249031768348962</v>
      </c>
      <c r="E194" t="s">
        <v>6</v>
      </c>
    </row>
    <row r="195" spans="1:5" x14ac:dyDescent="0.35">
      <c r="A195" s="5">
        <v>45291</v>
      </c>
      <c r="B195" s="2" t="s">
        <v>7</v>
      </c>
      <c r="C195" s="7">
        <v>3268.07</v>
      </c>
      <c r="D195" s="17">
        <v>3.6140126912383309E-2</v>
      </c>
      <c r="E195" t="s">
        <v>6</v>
      </c>
    </row>
    <row r="196" spans="1:5" x14ac:dyDescent="0.35">
      <c r="A196" s="5">
        <v>45291</v>
      </c>
      <c r="B196" s="2" t="s">
        <v>8</v>
      </c>
      <c r="C196" s="7">
        <v>0</v>
      </c>
      <c r="D196" s="17">
        <v>0</v>
      </c>
      <c r="E196" t="s">
        <v>6</v>
      </c>
    </row>
    <row r="197" spans="1:5" s="1" customFormat="1" x14ac:dyDescent="0.35">
      <c r="A197" s="5">
        <v>45291</v>
      </c>
      <c r="B197" s="2" t="s">
        <v>9</v>
      </c>
      <c r="C197" s="7">
        <v>-25598.639999999999</v>
      </c>
      <c r="D197" s="19">
        <v>1</v>
      </c>
      <c r="E197" t="s">
        <v>10</v>
      </c>
    </row>
    <row r="198" spans="1:5" x14ac:dyDescent="0.35">
      <c r="A198" s="5">
        <v>45291</v>
      </c>
      <c r="B198" s="2" t="s">
        <v>11</v>
      </c>
      <c r="C198" s="7">
        <v>29965</v>
      </c>
      <c r="D198" s="17">
        <v>0.3313695554041271</v>
      </c>
      <c r="E198" t="s">
        <v>12</v>
      </c>
    </row>
    <row r="199" spans="1:5" x14ac:dyDescent="0.35">
      <c r="A199" s="5">
        <v>45291</v>
      </c>
      <c r="B199" s="2" t="s">
        <v>13</v>
      </c>
      <c r="C199" s="7">
        <v>0</v>
      </c>
      <c r="D199" s="17">
        <v>0</v>
      </c>
      <c r="E199" t="s">
        <v>12</v>
      </c>
    </row>
    <row r="200" spans="1:5" x14ac:dyDescent="0.35">
      <c r="A200" s="5">
        <v>45291</v>
      </c>
      <c r="B200" s="2" t="s">
        <v>14</v>
      </c>
      <c r="C200" s="7">
        <v>0</v>
      </c>
      <c r="D200" s="17">
        <v>0</v>
      </c>
      <c r="E200" t="s">
        <v>6</v>
      </c>
    </row>
    <row r="201" spans="1:5" x14ac:dyDescent="0.35">
      <c r="A201" s="5">
        <v>45291</v>
      </c>
      <c r="B201" s="3" t="s">
        <v>15</v>
      </c>
      <c r="C201" s="8">
        <v>64829.1</v>
      </c>
      <c r="D201" s="6">
        <v>1</v>
      </c>
      <c r="E201" s="1" t="s">
        <v>10</v>
      </c>
    </row>
    <row r="202" spans="1:5" x14ac:dyDescent="0.35">
      <c r="A202" s="5">
        <v>45322</v>
      </c>
      <c r="B202" s="2" t="s">
        <v>5</v>
      </c>
      <c r="C202" s="7">
        <v>59025.340000000004</v>
      </c>
      <c r="D202" s="17">
        <v>0.64071342662747333</v>
      </c>
      <c r="E202" t="s">
        <v>6</v>
      </c>
    </row>
    <row r="203" spans="1:5" x14ac:dyDescent="0.35">
      <c r="A203" s="5">
        <v>45322</v>
      </c>
      <c r="B203" s="2" t="s">
        <v>7</v>
      </c>
      <c r="C203" s="7">
        <v>3134.06</v>
      </c>
      <c r="D203" s="17">
        <v>3.4019868786119636E-2</v>
      </c>
      <c r="E203" t="s">
        <v>6</v>
      </c>
    </row>
    <row r="204" spans="1:5" s="1" customFormat="1" x14ac:dyDescent="0.35">
      <c r="A204" s="5">
        <v>45322</v>
      </c>
      <c r="B204" s="2" t="s">
        <v>8</v>
      </c>
      <c r="C204" s="7">
        <v>0</v>
      </c>
      <c r="D204" s="17">
        <v>0</v>
      </c>
      <c r="E204" t="s">
        <v>6</v>
      </c>
    </row>
    <row r="205" spans="1:5" x14ac:dyDescent="0.35">
      <c r="A205" s="5">
        <v>45322</v>
      </c>
      <c r="B205" s="2" t="s">
        <v>9</v>
      </c>
      <c r="C205" s="7">
        <v>-25598.639999999999</v>
      </c>
      <c r="D205" s="19">
        <v>1</v>
      </c>
      <c r="E205" t="s">
        <v>10</v>
      </c>
    </row>
    <row r="206" spans="1:5" x14ac:dyDescent="0.35">
      <c r="A206" s="5">
        <v>45322</v>
      </c>
      <c r="B206" s="2" t="s">
        <v>11</v>
      </c>
      <c r="C206" s="7">
        <v>29965</v>
      </c>
      <c r="D206" s="17">
        <v>0.32526670458640711</v>
      </c>
      <c r="E206" t="s">
        <v>12</v>
      </c>
    </row>
    <row r="207" spans="1:5" x14ac:dyDescent="0.35">
      <c r="A207" s="5">
        <v>45322</v>
      </c>
      <c r="B207" s="2" t="s">
        <v>13</v>
      </c>
      <c r="C207" s="7">
        <v>0</v>
      </c>
      <c r="D207" s="17">
        <v>0</v>
      </c>
      <c r="E207" t="s">
        <v>12</v>
      </c>
    </row>
    <row r="208" spans="1:5" x14ac:dyDescent="0.35">
      <c r="A208" s="5">
        <v>45322</v>
      </c>
      <c r="B208" s="2" t="s">
        <v>14</v>
      </c>
      <c r="C208" s="7">
        <v>0</v>
      </c>
      <c r="D208" s="17">
        <v>0</v>
      </c>
      <c r="E208" t="s">
        <v>6</v>
      </c>
    </row>
    <row r="209" spans="1:5" x14ac:dyDescent="0.35">
      <c r="A209" s="5">
        <v>45322</v>
      </c>
      <c r="B209" s="3" t="s">
        <v>15</v>
      </c>
      <c r="C209" s="8">
        <v>66525.760000000009</v>
      </c>
      <c r="D209" s="6">
        <v>1</v>
      </c>
      <c r="E209" s="1" t="s">
        <v>10</v>
      </c>
    </row>
    <row r="210" spans="1:5" x14ac:dyDescent="0.35">
      <c r="A210" s="5">
        <v>45351</v>
      </c>
      <c r="B210" s="2" t="s">
        <v>5</v>
      </c>
      <c r="C210" s="7">
        <v>62292.14</v>
      </c>
      <c r="D210" s="17">
        <v>0.64331898643923136</v>
      </c>
      <c r="E210" t="s">
        <v>6</v>
      </c>
    </row>
    <row r="211" spans="1:5" s="1" customFormat="1" x14ac:dyDescent="0.35">
      <c r="A211" s="5">
        <v>45351</v>
      </c>
      <c r="B211" s="2" t="s">
        <v>7</v>
      </c>
      <c r="C211" s="7">
        <v>4572.18</v>
      </c>
      <c r="D211" s="17">
        <v>4.7218962190377869E-2</v>
      </c>
      <c r="E211" t="s">
        <v>6</v>
      </c>
    </row>
    <row r="212" spans="1:5" x14ac:dyDescent="0.35">
      <c r="A212" s="5">
        <v>45351</v>
      </c>
      <c r="B212" s="2" t="s">
        <v>8</v>
      </c>
      <c r="C212" s="7">
        <v>0</v>
      </c>
      <c r="D212" s="17">
        <v>0</v>
      </c>
      <c r="E212" t="s">
        <v>6</v>
      </c>
    </row>
    <row r="213" spans="1:5" x14ac:dyDescent="0.35">
      <c r="A213" s="5">
        <v>45351</v>
      </c>
      <c r="B213" s="2" t="s">
        <v>9</v>
      </c>
      <c r="C213" s="7">
        <v>-25598.639999999999</v>
      </c>
      <c r="D213" s="19">
        <v>1</v>
      </c>
      <c r="E213" t="s">
        <v>10</v>
      </c>
    </row>
    <row r="214" spans="1:5" x14ac:dyDescent="0.35">
      <c r="A214" s="5">
        <v>45351</v>
      </c>
      <c r="B214" s="2" t="s">
        <v>11</v>
      </c>
      <c r="C214" s="7">
        <v>29965</v>
      </c>
      <c r="D214" s="17">
        <v>0.30946205137039068</v>
      </c>
      <c r="E214" t="s">
        <v>12</v>
      </c>
    </row>
    <row r="215" spans="1:5" x14ac:dyDescent="0.35">
      <c r="A215" s="5">
        <v>45351</v>
      </c>
      <c r="B215" s="2" t="s">
        <v>13</v>
      </c>
      <c r="C215" s="7">
        <v>0</v>
      </c>
      <c r="D215" s="17">
        <v>0</v>
      </c>
      <c r="E215" t="s">
        <v>12</v>
      </c>
    </row>
    <row r="216" spans="1:5" x14ac:dyDescent="0.35">
      <c r="A216" s="5">
        <v>45351</v>
      </c>
      <c r="B216" s="2" t="s">
        <v>14</v>
      </c>
      <c r="C216" s="7">
        <v>0</v>
      </c>
      <c r="D216" s="17">
        <v>0</v>
      </c>
      <c r="E216" t="s">
        <v>6</v>
      </c>
    </row>
    <row r="217" spans="1:5" x14ac:dyDescent="0.35">
      <c r="A217" s="5">
        <v>45351</v>
      </c>
      <c r="B217" s="3" t="s">
        <v>15</v>
      </c>
      <c r="C217" s="8">
        <v>71230.680000000008</v>
      </c>
      <c r="D217" s="6">
        <v>1</v>
      </c>
      <c r="E217" s="1" t="s">
        <v>10</v>
      </c>
    </row>
    <row r="218" spans="1:5" s="1" customFormat="1" x14ac:dyDescent="0.35">
      <c r="A218" s="5">
        <v>45382</v>
      </c>
      <c r="B218" s="2" t="s">
        <v>5</v>
      </c>
      <c r="C218" s="7">
        <v>63710.86</v>
      </c>
      <c r="D218" s="17">
        <v>0.64348989625418385</v>
      </c>
      <c r="E218" t="s">
        <v>6</v>
      </c>
    </row>
    <row r="219" spans="1:5" x14ac:dyDescent="0.35">
      <c r="A219" s="5">
        <v>45382</v>
      </c>
      <c r="B219" s="2" t="s">
        <v>7</v>
      </c>
      <c r="C219" s="7">
        <v>5292.47</v>
      </c>
      <c r="D219" s="17">
        <v>5.345479516723492E-2</v>
      </c>
      <c r="E219" t="s">
        <v>6</v>
      </c>
    </row>
    <row r="220" spans="1:5" x14ac:dyDescent="0.35">
      <c r="A220" s="5">
        <v>45382</v>
      </c>
      <c r="B220" s="2" t="s">
        <v>8</v>
      </c>
      <c r="C220" s="7">
        <v>0</v>
      </c>
      <c r="D220" s="17">
        <v>0</v>
      </c>
      <c r="E220" t="s">
        <v>6</v>
      </c>
    </row>
    <row r="221" spans="1:5" x14ac:dyDescent="0.35">
      <c r="A221" s="5">
        <v>45382</v>
      </c>
      <c r="B221" s="2" t="s">
        <v>9</v>
      </c>
      <c r="C221" s="7">
        <v>-25598.639999999999</v>
      </c>
      <c r="D221" s="19">
        <v>1</v>
      </c>
      <c r="E221" t="s">
        <v>10</v>
      </c>
    </row>
    <row r="222" spans="1:5" x14ac:dyDescent="0.35">
      <c r="A222" s="5">
        <v>45382</v>
      </c>
      <c r="B222" s="2" t="s">
        <v>11</v>
      </c>
      <c r="C222" s="7">
        <v>30005</v>
      </c>
      <c r="D222" s="17">
        <v>0.30305530857858121</v>
      </c>
      <c r="E222" t="s">
        <v>12</v>
      </c>
    </row>
    <row r="223" spans="1:5" x14ac:dyDescent="0.35">
      <c r="A223" s="5">
        <v>45382</v>
      </c>
      <c r="B223" s="2" t="s">
        <v>13</v>
      </c>
      <c r="C223" s="7">
        <v>0</v>
      </c>
      <c r="D223" s="17">
        <v>0</v>
      </c>
      <c r="E223" t="s">
        <v>12</v>
      </c>
    </row>
    <row r="224" spans="1:5" x14ac:dyDescent="0.35">
      <c r="A224" s="5">
        <v>45382</v>
      </c>
      <c r="B224" s="2" t="s">
        <v>14</v>
      </c>
      <c r="C224" s="7">
        <v>0</v>
      </c>
      <c r="D224" s="17">
        <v>0</v>
      </c>
      <c r="E224" t="s">
        <v>6</v>
      </c>
    </row>
    <row r="225" spans="1:5" s="1" customFormat="1" x14ac:dyDescent="0.35">
      <c r="A225" s="5">
        <v>45382</v>
      </c>
      <c r="B225" s="3" t="s">
        <v>15</v>
      </c>
      <c r="C225" s="8">
        <v>73409.69</v>
      </c>
      <c r="D225" s="20">
        <v>1</v>
      </c>
      <c r="E225" s="1" t="s">
        <v>10</v>
      </c>
    </row>
    <row r="226" spans="1:5" x14ac:dyDescent="0.35">
      <c r="A226" s="5">
        <v>45412</v>
      </c>
      <c r="B226" s="2" t="s">
        <v>5</v>
      </c>
      <c r="C226" s="7">
        <v>66803.009999999995</v>
      </c>
      <c r="D226" s="17">
        <v>0.65967843902624002</v>
      </c>
      <c r="E226" t="s">
        <v>6</v>
      </c>
    </row>
    <row r="227" spans="1:5" x14ac:dyDescent="0.35">
      <c r="A227" s="5">
        <v>45412</v>
      </c>
      <c r="B227" s="2" t="s">
        <v>7</v>
      </c>
      <c r="C227" s="7">
        <v>4458.01</v>
      </c>
      <c r="D227" s="17">
        <v>4.4022763015669035E-2</v>
      </c>
      <c r="E227" t="s">
        <v>6</v>
      </c>
    </row>
    <row r="228" spans="1:5" x14ac:dyDescent="0.35">
      <c r="A228" s="5">
        <v>45412</v>
      </c>
      <c r="B228" s="2" t="s">
        <v>8</v>
      </c>
      <c r="C228" s="7">
        <v>0</v>
      </c>
      <c r="D228" s="17">
        <v>0</v>
      </c>
      <c r="E228" t="s">
        <v>6</v>
      </c>
    </row>
    <row r="229" spans="1:5" x14ac:dyDescent="0.35">
      <c r="A229" s="5">
        <v>45412</v>
      </c>
      <c r="B229" s="2" t="s">
        <v>9</v>
      </c>
      <c r="C229" s="7">
        <v>-25598.639999999999</v>
      </c>
      <c r="D229" s="19">
        <v>1</v>
      </c>
      <c r="E229" t="s">
        <v>10</v>
      </c>
    </row>
    <row r="230" spans="1:5" x14ac:dyDescent="0.35">
      <c r="A230" s="5">
        <v>45412</v>
      </c>
      <c r="B230" s="2" t="s">
        <v>11</v>
      </c>
      <c r="C230" s="7">
        <v>30005</v>
      </c>
      <c r="D230" s="17">
        <v>0.296298797958091</v>
      </c>
      <c r="E230" t="s">
        <v>12</v>
      </c>
    </row>
    <row r="231" spans="1:5" x14ac:dyDescent="0.35">
      <c r="A231" s="5">
        <v>45412</v>
      </c>
      <c r="B231" s="2" t="s">
        <v>13</v>
      </c>
      <c r="C231" s="7">
        <v>0</v>
      </c>
      <c r="D231" s="17">
        <v>0</v>
      </c>
      <c r="E231" t="s">
        <v>12</v>
      </c>
    </row>
    <row r="232" spans="1:5" s="1" customFormat="1" x14ac:dyDescent="0.35">
      <c r="A232" s="5">
        <v>45412</v>
      </c>
      <c r="B232" s="2" t="s">
        <v>14</v>
      </c>
      <c r="C232" s="7">
        <v>0</v>
      </c>
      <c r="D232" s="17">
        <v>0</v>
      </c>
      <c r="E232" t="s">
        <v>6</v>
      </c>
    </row>
    <row r="233" spans="1:5" x14ac:dyDescent="0.35">
      <c r="A233" s="5">
        <v>45412</v>
      </c>
      <c r="B233" s="3" t="s">
        <v>15</v>
      </c>
      <c r="C233" s="8">
        <v>75667.37999999999</v>
      </c>
      <c r="D233" s="20">
        <v>1</v>
      </c>
      <c r="E233" s="1" t="s">
        <v>10</v>
      </c>
    </row>
    <row r="234" spans="1:5" x14ac:dyDescent="0.35">
      <c r="A234" s="5">
        <v>45443</v>
      </c>
      <c r="B234" s="2" t="s">
        <v>5</v>
      </c>
      <c r="C234" s="7">
        <v>74340.62</v>
      </c>
      <c r="D234" s="17">
        <v>0.68018217824101268</v>
      </c>
      <c r="E234" t="s">
        <v>6</v>
      </c>
    </row>
    <row r="235" spans="1:5" x14ac:dyDescent="0.35">
      <c r="A235" s="5">
        <v>45443</v>
      </c>
      <c r="B235" s="2" t="s">
        <v>7</v>
      </c>
      <c r="C235" s="7">
        <v>4949.54</v>
      </c>
      <c r="D235" s="17">
        <v>4.5285994366081724E-2</v>
      </c>
      <c r="E235" t="s">
        <v>6</v>
      </c>
    </row>
    <row r="236" spans="1:5" x14ac:dyDescent="0.35">
      <c r="A236" s="5">
        <v>45443</v>
      </c>
      <c r="B236" s="2" t="s">
        <v>8</v>
      </c>
      <c r="C236" s="7">
        <v>0</v>
      </c>
      <c r="D236" s="17">
        <v>0</v>
      </c>
      <c r="E236" t="s">
        <v>6</v>
      </c>
    </row>
    <row r="237" spans="1:5" x14ac:dyDescent="0.35">
      <c r="A237" s="5">
        <v>45443</v>
      </c>
      <c r="B237" s="2" t="s">
        <v>9</v>
      </c>
      <c r="C237" s="7">
        <v>-25598.639999999999</v>
      </c>
      <c r="D237" s="19">
        <v>1</v>
      </c>
      <c r="E237" t="s">
        <v>10</v>
      </c>
    </row>
    <row r="238" spans="1:5" x14ac:dyDescent="0.35">
      <c r="A238" s="5">
        <v>45443</v>
      </c>
      <c r="B238" s="2" t="s">
        <v>11</v>
      </c>
      <c r="C238" s="7">
        <v>30005</v>
      </c>
      <c r="D238" s="17">
        <v>0.2745318273929056</v>
      </c>
      <c r="E238" t="s">
        <v>12</v>
      </c>
    </row>
    <row r="239" spans="1:5" s="1" customFormat="1" x14ac:dyDescent="0.35">
      <c r="A239" s="5">
        <v>45443</v>
      </c>
      <c r="B239" s="2" t="s">
        <v>13</v>
      </c>
      <c r="C239" s="7">
        <v>0</v>
      </c>
      <c r="D239" s="17">
        <v>0</v>
      </c>
      <c r="E239" t="s">
        <v>12</v>
      </c>
    </row>
    <row r="240" spans="1:5" x14ac:dyDescent="0.35">
      <c r="A240" s="5">
        <v>45443</v>
      </c>
      <c r="B240" s="2" t="s">
        <v>14</v>
      </c>
      <c r="C240" s="7">
        <v>0</v>
      </c>
      <c r="D240" s="17">
        <v>0</v>
      </c>
      <c r="E240" t="s">
        <v>6</v>
      </c>
    </row>
    <row r="241" spans="1:5" x14ac:dyDescent="0.35">
      <c r="A241" s="5">
        <v>45443</v>
      </c>
      <c r="B241" s="3" t="s">
        <v>15</v>
      </c>
      <c r="C241" s="8">
        <v>83696.51999999999</v>
      </c>
      <c r="D241" s="20">
        <v>1</v>
      </c>
      <c r="E241" s="1" t="s">
        <v>10</v>
      </c>
    </row>
    <row r="242" spans="1:5" x14ac:dyDescent="0.35">
      <c r="A242" s="5">
        <v>45473</v>
      </c>
      <c r="B242" s="2" t="s">
        <v>5</v>
      </c>
      <c r="C242" s="7">
        <v>77502.600000000006</v>
      </c>
      <c r="D242" s="17">
        <v>0.69445560763051184</v>
      </c>
      <c r="E242" t="s">
        <v>6</v>
      </c>
    </row>
    <row r="243" spans="1:5" x14ac:dyDescent="0.35">
      <c r="A243" s="5">
        <v>45473</v>
      </c>
      <c r="B243" s="2" t="s">
        <v>7</v>
      </c>
      <c r="C243" s="7">
        <v>4403.3500000000004</v>
      </c>
      <c r="D243" s="17">
        <v>3.9455851801872638E-2</v>
      </c>
      <c r="E243" t="s">
        <v>6</v>
      </c>
    </row>
    <row r="244" spans="1:5" x14ac:dyDescent="0.35">
      <c r="A244" s="5">
        <v>45473</v>
      </c>
      <c r="B244" s="2" t="s">
        <v>8</v>
      </c>
      <c r="C244" s="7">
        <v>0</v>
      </c>
      <c r="D244" s="17">
        <v>0</v>
      </c>
      <c r="E244" t="s">
        <v>6</v>
      </c>
    </row>
    <row r="245" spans="1:5" x14ac:dyDescent="0.35">
      <c r="A245" s="5">
        <v>45473</v>
      </c>
      <c r="B245" s="2" t="s">
        <v>9</v>
      </c>
      <c r="C245" s="7">
        <v>-25598.639999999999</v>
      </c>
      <c r="D245" s="19">
        <v>1</v>
      </c>
      <c r="E245" t="s">
        <v>10</v>
      </c>
    </row>
    <row r="246" spans="1:5" x14ac:dyDescent="0.35">
      <c r="A246" s="5">
        <v>45473</v>
      </c>
      <c r="B246" s="2" t="s">
        <v>11</v>
      </c>
      <c r="C246" s="7">
        <v>29696</v>
      </c>
      <c r="D246" s="17">
        <v>0.26608854056761549</v>
      </c>
      <c r="E246" t="s">
        <v>12</v>
      </c>
    </row>
    <row r="247" spans="1:5" x14ac:dyDescent="0.35">
      <c r="A247" s="5">
        <v>45473</v>
      </c>
      <c r="B247" s="2" t="s">
        <v>13</v>
      </c>
      <c r="C247" s="7">
        <v>0</v>
      </c>
      <c r="D247" s="17">
        <v>0</v>
      </c>
      <c r="E247" t="s">
        <v>12</v>
      </c>
    </row>
    <row r="248" spans="1:5" x14ac:dyDescent="0.35">
      <c r="A248" s="5">
        <v>45473</v>
      </c>
      <c r="B248" s="2" t="s">
        <v>14</v>
      </c>
      <c r="C248" s="7">
        <v>0</v>
      </c>
      <c r="D248" s="17">
        <v>0</v>
      </c>
      <c r="E248" t="s">
        <v>6</v>
      </c>
    </row>
    <row r="249" spans="1:5" x14ac:dyDescent="0.35">
      <c r="A249" s="5">
        <v>45473</v>
      </c>
      <c r="B249" s="3" t="s">
        <v>15</v>
      </c>
      <c r="C249" s="8">
        <v>86003.310000000012</v>
      </c>
      <c r="D249" s="20">
        <v>1</v>
      </c>
      <c r="E249" s="1" t="s">
        <v>10</v>
      </c>
    </row>
    <row r="250" spans="1:5" x14ac:dyDescent="0.35">
      <c r="A250" s="5">
        <v>45504</v>
      </c>
      <c r="B250" s="2" t="s">
        <v>5</v>
      </c>
      <c r="C250" s="7">
        <v>59470.1</v>
      </c>
      <c r="D250" s="17">
        <v>0.27896402308319035</v>
      </c>
      <c r="E250" t="s">
        <v>6</v>
      </c>
    </row>
    <row r="251" spans="1:5" x14ac:dyDescent="0.35">
      <c r="A251" s="5">
        <v>45504</v>
      </c>
      <c r="B251" s="2" t="s">
        <v>7</v>
      </c>
      <c r="C251" s="7">
        <v>4015.87</v>
      </c>
      <c r="D251" s="17">
        <v>1.8837756307440071E-2</v>
      </c>
      <c r="E251" t="s">
        <v>6</v>
      </c>
    </row>
    <row r="252" spans="1:5" x14ac:dyDescent="0.35">
      <c r="A252" s="5">
        <v>45504</v>
      </c>
      <c r="B252" s="2" t="s">
        <v>8</v>
      </c>
      <c r="C252" s="7">
        <v>20000</v>
      </c>
      <c r="D252" s="17">
        <v>9.3816564318267626E-2</v>
      </c>
      <c r="E252" t="s">
        <v>6</v>
      </c>
    </row>
    <row r="253" spans="1:5" x14ac:dyDescent="0.35">
      <c r="A253" s="5">
        <v>45504</v>
      </c>
      <c r="B253" s="2" t="s">
        <v>9</v>
      </c>
      <c r="C253" s="7">
        <v>-25598.639999999999</v>
      </c>
      <c r="D253" s="19">
        <v>1</v>
      </c>
      <c r="E253" t="s">
        <v>10</v>
      </c>
    </row>
    <row r="254" spans="1:5" x14ac:dyDescent="0.35">
      <c r="A254" s="5">
        <v>45504</v>
      </c>
      <c r="B254" s="2" t="s">
        <v>11</v>
      </c>
      <c r="C254" s="7">
        <v>29696</v>
      </c>
      <c r="D254" s="17">
        <v>0.13929883469976378</v>
      </c>
      <c r="E254" t="s">
        <v>12</v>
      </c>
    </row>
    <row r="255" spans="1:5" x14ac:dyDescent="0.35">
      <c r="A255" s="5">
        <v>45504</v>
      </c>
      <c r="B255" s="2" t="s">
        <v>13</v>
      </c>
      <c r="C255" s="7">
        <v>100000</v>
      </c>
      <c r="D255" s="17">
        <v>0.46908282159133813</v>
      </c>
      <c r="E255" t="s">
        <v>12</v>
      </c>
    </row>
    <row r="256" spans="1:5" x14ac:dyDescent="0.35">
      <c r="A256" s="5">
        <v>45504</v>
      </c>
      <c r="B256" s="2" t="s">
        <v>14</v>
      </c>
      <c r="C256" s="7">
        <v>0</v>
      </c>
      <c r="D256" s="17">
        <v>0</v>
      </c>
      <c r="E256" t="s">
        <v>6</v>
      </c>
    </row>
    <row r="257" spans="1:5" x14ac:dyDescent="0.35">
      <c r="A257" s="5">
        <v>45504</v>
      </c>
      <c r="B257" s="3" t="s">
        <v>15</v>
      </c>
      <c r="C257" s="8">
        <v>187583.33000000002</v>
      </c>
      <c r="D257" s="20">
        <v>1</v>
      </c>
      <c r="E257" s="1" t="s">
        <v>10</v>
      </c>
    </row>
    <row r="258" spans="1:5" x14ac:dyDescent="0.35">
      <c r="A258" s="5">
        <v>45535</v>
      </c>
      <c r="B258" s="2" t="s">
        <v>5</v>
      </c>
      <c r="C258" s="7">
        <v>50563.57</v>
      </c>
      <c r="D258" s="17">
        <v>0.23374083307346064</v>
      </c>
      <c r="E258" t="s">
        <v>6</v>
      </c>
    </row>
    <row r="259" spans="1:5" x14ac:dyDescent="0.35">
      <c r="A259" s="5">
        <v>45535</v>
      </c>
      <c r="B259" s="2" t="s">
        <v>7</v>
      </c>
      <c r="C259" s="7">
        <v>3751.53</v>
      </c>
      <c r="D259" s="17">
        <v>1.7342243585650296E-2</v>
      </c>
      <c r="E259" t="s">
        <v>6</v>
      </c>
    </row>
    <row r="260" spans="1:5" x14ac:dyDescent="0.35">
      <c r="A260" s="5">
        <v>45535</v>
      </c>
      <c r="B260" s="2" t="s">
        <v>8</v>
      </c>
      <c r="C260" s="7">
        <v>21646.67</v>
      </c>
      <c r="D260" s="17">
        <v>0.10006632599451122</v>
      </c>
      <c r="E260" t="s">
        <v>6</v>
      </c>
    </row>
    <row r="261" spans="1:5" x14ac:dyDescent="0.35">
      <c r="A261" s="5">
        <v>45535</v>
      </c>
      <c r="B261" s="2" t="s">
        <v>9</v>
      </c>
      <c r="C261" s="7">
        <v>-25598.639999999999</v>
      </c>
      <c r="D261" s="19">
        <v>1</v>
      </c>
      <c r="E261" t="s">
        <v>10</v>
      </c>
    </row>
    <row r="262" spans="1:5" x14ac:dyDescent="0.35">
      <c r="A262" s="5">
        <v>45535</v>
      </c>
      <c r="B262" s="2" t="s">
        <v>11</v>
      </c>
      <c r="C262" s="7">
        <v>29696</v>
      </c>
      <c r="D262" s="17">
        <v>0.13727606217182622</v>
      </c>
      <c r="E262" t="s">
        <v>12</v>
      </c>
    </row>
    <row r="263" spans="1:5" x14ac:dyDescent="0.35">
      <c r="A263" s="5">
        <v>45535</v>
      </c>
      <c r="B263" s="2" t="s">
        <v>13</v>
      </c>
      <c r="C263" s="7">
        <v>109821.33</v>
      </c>
      <c r="D263" s="17">
        <v>0.50767240452830831</v>
      </c>
      <c r="E263" t="s">
        <v>12</v>
      </c>
    </row>
    <row r="264" spans="1:5" x14ac:dyDescent="0.35">
      <c r="A264" s="5">
        <v>45535</v>
      </c>
      <c r="B264" s="2" t="s">
        <v>14</v>
      </c>
      <c r="C264" s="7">
        <v>844.12147199999993</v>
      </c>
      <c r="D264" s="17">
        <v>3.9021306462434487E-3</v>
      </c>
      <c r="E264" t="s">
        <v>6</v>
      </c>
    </row>
    <row r="265" spans="1:5" x14ac:dyDescent="0.35">
      <c r="A265" s="5">
        <v>45535</v>
      </c>
      <c r="B265" s="3" t="s">
        <v>15</v>
      </c>
      <c r="C265" s="8">
        <v>190724.58147199999</v>
      </c>
      <c r="D265" s="20">
        <v>1</v>
      </c>
      <c r="E265" s="1" t="s">
        <v>10</v>
      </c>
    </row>
    <row r="266" spans="1:5" x14ac:dyDescent="0.35">
      <c r="A266" s="5">
        <v>45565</v>
      </c>
      <c r="B266" s="2" t="s">
        <v>5</v>
      </c>
      <c r="C266" s="7">
        <v>52767.13</v>
      </c>
      <c r="D266" s="17">
        <v>0.24028071632173245</v>
      </c>
      <c r="E266" t="s">
        <v>6</v>
      </c>
    </row>
    <row r="267" spans="1:5" x14ac:dyDescent="0.35">
      <c r="A267" s="5">
        <v>45565</v>
      </c>
      <c r="B267" s="2" t="s">
        <v>7</v>
      </c>
      <c r="C267" s="7">
        <v>3916.16</v>
      </c>
      <c r="D267" s="17">
        <v>1.7832649416985834E-2</v>
      </c>
      <c r="E267" t="s">
        <v>6</v>
      </c>
    </row>
    <row r="268" spans="1:5" x14ac:dyDescent="0.35">
      <c r="A268" s="5">
        <v>45565</v>
      </c>
      <c r="B268" s="2" t="s">
        <v>8</v>
      </c>
      <c r="C268" s="7">
        <v>22811.87</v>
      </c>
      <c r="D268" s="17">
        <v>0.10387626661215493</v>
      </c>
      <c r="E268" t="s">
        <v>6</v>
      </c>
    </row>
    <row r="269" spans="1:5" x14ac:dyDescent="0.35">
      <c r="A269" s="5">
        <v>45565</v>
      </c>
      <c r="B269" s="2" t="s">
        <v>9</v>
      </c>
      <c r="C269" s="7">
        <v>-25598.639999999999</v>
      </c>
      <c r="D269" s="19">
        <v>1</v>
      </c>
      <c r="E269" t="s">
        <v>10</v>
      </c>
    </row>
    <row r="270" spans="1:5" x14ac:dyDescent="0.35">
      <c r="A270" s="5">
        <v>45565</v>
      </c>
      <c r="B270" s="2" t="s">
        <v>11</v>
      </c>
      <c r="C270" s="7">
        <v>29817</v>
      </c>
      <c r="D270" s="17">
        <v>0.1357748681530547</v>
      </c>
      <c r="E270" t="s">
        <v>12</v>
      </c>
    </row>
    <row r="271" spans="1:5" x14ac:dyDescent="0.35">
      <c r="A271" s="5">
        <v>45565</v>
      </c>
      <c r="B271" s="2" t="s">
        <v>13</v>
      </c>
      <c r="C271" s="7">
        <v>109441.08</v>
      </c>
      <c r="D271" s="17">
        <v>0.49835155138102127</v>
      </c>
      <c r="E271" t="s">
        <v>12</v>
      </c>
    </row>
    <row r="272" spans="1:5" x14ac:dyDescent="0.35">
      <c r="A272" s="5">
        <v>45565</v>
      </c>
      <c r="B272" s="2" t="s">
        <v>14</v>
      </c>
      <c r="C272" s="7">
        <v>852.93900500000007</v>
      </c>
      <c r="D272" s="17">
        <v>3.8839481150508993E-3</v>
      </c>
      <c r="E272" t="s">
        <v>6</v>
      </c>
    </row>
    <row r="273" spans="1:5" x14ac:dyDescent="0.35">
      <c r="A273" s="5">
        <v>45565</v>
      </c>
      <c r="B273" s="3" t="s">
        <v>15</v>
      </c>
      <c r="C273" s="8">
        <v>194007.53900499997</v>
      </c>
      <c r="D273" s="20">
        <v>1</v>
      </c>
      <c r="E273" s="1" t="s">
        <v>10</v>
      </c>
    </row>
    <row r="274" spans="1:5" x14ac:dyDescent="0.35">
      <c r="A274" s="9">
        <v>45596</v>
      </c>
      <c r="B274" s="10" t="s">
        <v>16</v>
      </c>
      <c r="C274" s="11">
        <v>47191.54</v>
      </c>
      <c r="D274" s="16">
        <v>0.21000059718500694</v>
      </c>
      <c r="E274" t="s">
        <v>6</v>
      </c>
    </row>
    <row r="275" spans="1:5" x14ac:dyDescent="0.35">
      <c r="A275" s="9">
        <v>45596</v>
      </c>
      <c r="B275" s="10" t="s">
        <v>17</v>
      </c>
      <c r="C275" s="11">
        <v>4090</v>
      </c>
      <c r="D275" s="16">
        <v>1.8200347826891818E-2</v>
      </c>
      <c r="E275" t="s">
        <v>6</v>
      </c>
    </row>
    <row r="276" spans="1:5" x14ac:dyDescent="0.35">
      <c r="A276" s="9">
        <v>45596</v>
      </c>
      <c r="B276" s="10" t="s">
        <v>18</v>
      </c>
      <c r="C276" s="11">
        <v>32907.71</v>
      </c>
      <c r="D276" s="16">
        <v>0.14643808513117021</v>
      </c>
      <c r="E276" t="s">
        <v>6</v>
      </c>
    </row>
    <row r="277" spans="1:5" x14ac:dyDescent="0.35">
      <c r="A277" s="9">
        <v>45596</v>
      </c>
      <c r="B277" s="14" t="s">
        <v>9</v>
      </c>
      <c r="C277" s="15">
        <v>-25598.639999999999</v>
      </c>
      <c r="D277" s="19">
        <v>1</v>
      </c>
      <c r="E277" t="s">
        <v>10</v>
      </c>
    </row>
    <row r="278" spans="1:5" x14ac:dyDescent="0.35">
      <c r="A278" s="9">
        <v>45596</v>
      </c>
      <c r="B278" s="10" t="s">
        <v>19</v>
      </c>
      <c r="C278" s="11">
        <v>29817</v>
      </c>
      <c r="D278" s="16">
        <v>0.13268454062455584</v>
      </c>
      <c r="E278" t="s">
        <v>12</v>
      </c>
    </row>
    <row r="279" spans="1:5" x14ac:dyDescent="0.35">
      <c r="A279" s="9">
        <v>45596</v>
      </c>
      <c r="B279" s="10" t="s">
        <v>20</v>
      </c>
      <c r="C279" s="11">
        <v>109186.84</v>
      </c>
      <c r="D279" s="16">
        <v>0.48587737557926275</v>
      </c>
      <c r="E279" t="s">
        <v>12</v>
      </c>
    </row>
    <row r="280" spans="1:5" x14ac:dyDescent="0.35">
      <c r="A280" s="9">
        <v>45596</v>
      </c>
      <c r="B280" s="10" t="s">
        <v>21</v>
      </c>
      <c r="C280" s="11">
        <v>1527.89</v>
      </c>
      <c r="D280" s="16">
        <v>6.7990536531124064E-3</v>
      </c>
      <c r="E280" t="s">
        <v>6</v>
      </c>
    </row>
    <row r="281" spans="1:5" x14ac:dyDescent="0.35">
      <c r="A281" s="5">
        <v>45596</v>
      </c>
      <c r="B281" s="12" t="s">
        <v>22</v>
      </c>
      <c r="C281" s="13">
        <v>199122.34000000003</v>
      </c>
      <c r="D281" s="18">
        <v>1</v>
      </c>
      <c r="E281" s="1" t="s">
        <v>10</v>
      </c>
    </row>
    <row r="282" spans="1:5" x14ac:dyDescent="0.35">
      <c r="A282" s="9">
        <v>45626</v>
      </c>
      <c r="B282" s="10" t="s">
        <v>16</v>
      </c>
      <c r="C282" s="11">
        <v>46965.99</v>
      </c>
      <c r="D282" s="16">
        <v>0.19979927328454788</v>
      </c>
      <c r="E282" t="s">
        <v>6</v>
      </c>
    </row>
    <row r="283" spans="1:5" x14ac:dyDescent="0.35">
      <c r="A283" s="9">
        <v>45626</v>
      </c>
      <c r="B283" s="10" t="s">
        <v>17</v>
      </c>
      <c r="C283" s="11">
        <v>5733.23</v>
      </c>
      <c r="D283" s="16">
        <v>2.4389886970830773E-2</v>
      </c>
      <c r="E283" t="s">
        <v>6</v>
      </c>
    </row>
    <row r="284" spans="1:5" x14ac:dyDescent="0.35">
      <c r="A284" s="9">
        <v>45626</v>
      </c>
      <c r="B284" s="10" t="s">
        <v>18</v>
      </c>
      <c r="C284" s="11">
        <v>33868.67</v>
      </c>
      <c r="D284" s="16">
        <v>0.14408161423008795</v>
      </c>
      <c r="E284" t="s">
        <v>6</v>
      </c>
    </row>
    <row r="285" spans="1:5" x14ac:dyDescent="0.35">
      <c r="A285" s="9">
        <v>45626</v>
      </c>
      <c r="B285" s="14" t="s">
        <v>9</v>
      </c>
      <c r="C285" s="15">
        <v>-25598.639999999999</v>
      </c>
      <c r="D285" s="19">
        <v>1</v>
      </c>
      <c r="E285" t="s">
        <v>10</v>
      </c>
    </row>
    <row r="286" spans="1:5" x14ac:dyDescent="0.35">
      <c r="A286" s="9">
        <v>45626</v>
      </c>
      <c r="B286" s="10" t="s">
        <v>19</v>
      </c>
      <c r="C286" s="11">
        <v>29817</v>
      </c>
      <c r="D286" s="16">
        <v>0.12684529659707725</v>
      </c>
      <c r="E286" t="s">
        <v>12</v>
      </c>
    </row>
    <row r="287" spans="1:5" x14ac:dyDescent="0.35">
      <c r="A287" s="9">
        <v>45626</v>
      </c>
      <c r="B287" s="10" t="s">
        <v>20</v>
      </c>
      <c r="C287" s="11">
        <v>117293.9</v>
      </c>
      <c r="D287" s="16">
        <v>0.49898311481798702</v>
      </c>
      <c r="E287" t="s">
        <v>12</v>
      </c>
    </row>
    <row r="288" spans="1:5" x14ac:dyDescent="0.35">
      <c r="A288" s="9">
        <v>45626</v>
      </c>
      <c r="B288" s="10" t="s">
        <v>21</v>
      </c>
      <c r="C288" s="11">
        <v>1387.08</v>
      </c>
      <c r="D288" s="16">
        <v>5.9008140994692261E-3</v>
      </c>
      <c r="E288" t="s">
        <v>6</v>
      </c>
    </row>
    <row r="289" spans="1:5" x14ac:dyDescent="0.35">
      <c r="A289" s="9">
        <v>45626</v>
      </c>
      <c r="B289" s="12" t="s">
        <v>22</v>
      </c>
      <c r="C289" s="13">
        <v>209467.22999999998</v>
      </c>
      <c r="D289" s="18">
        <v>1</v>
      </c>
      <c r="E289" s="1" t="s">
        <v>10</v>
      </c>
    </row>
    <row r="290" spans="1:5" x14ac:dyDescent="0.35">
      <c r="A290" s="9">
        <v>45657</v>
      </c>
      <c r="B290" s="10" t="s">
        <v>16</v>
      </c>
      <c r="C290" s="11">
        <v>50428.91</v>
      </c>
      <c r="D290" s="21">
        <v>0.21191222823337102</v>
      </c>
      <c r="E290" t="s">
        <v>6</v>
      </c>
    </row>
    <row r="291" spans="1:5" x14ac:dyDescent="0.35">
      <c r="A291" s="9">
        <v>45657</v>
      </c>
      <c r="B291" s="10" t="s">
        <v>17</v>
      </c>
      <c r="C291" s="11">
        <v>5595.79</v>
      </c>
      <c r="D291" s="21">
        <v>2.3514613495037175E-2</v>
      </c>
      <c r="E291" t="s">
        <v>6</v>
      </c>
    </row>
    <row r="292" spans="1:5" x14ac:dyDescent="0.35">
      <c r="A292" s="9">
        <v>45657</v>
      </c>
      <c r="B292" s="10" t="s">
        <v>18</v>
      </c>
      <c r="C292" s="11">
        <v>33884.589999999997</v>
      </c>
      <c r="D292" s="21">
        <v>0.14238973179618991</v>
      </c>
      <c r="E292" t="s">
        <v>6</v>
      </c>
    </row>
    <row r="293" spans="1:5" x14ac:dyDescent="0.35">
      <c r="A293" s="9">
        <v>45657</v>
      </c>
      <c r="B293" s="14" t="s">
        <v>9</v>
      </c>
      <c r="C293" s="15">
        <v>-25598.639999999999</v>
      </c>
      <c r="D293" s="17">
        <v>1</v>
      </c>
      <c r="E293" t="s">
        <v>10</v>
      </c>
    </row>
    <row r="294" spans="1:5" x14ac:dyDescent="0.35">
      <c r="A294" s="9">
        <v>45657</v>
      </c>
      <c r="B294" s="10" t="s">
        <v>19</v>
      </c>
      <c r="C294" s="11">
        <v>30159.66</v>
      </c>
      <c r="D294" s="21">
        <v>0.12673684109691979</v>
      </c>
      <c r="E294" t="s">
        <v>12</v>
      </c>
    </row>
    <row r="295" spans="1:5" x14ac:dyDescent="0.35">
      <c r="A295" s="9">
        <v>45657</v>
      </c>
      <c r="B295" s="10" t="s">
        <v>20</v>
      </c>
      <c r="C295" s="11">
        <v>116435.08</v>
      </c>
      <c r="D295" s="21">
        <v>0.48928317600619986</v>
      </c>
      <c r="E295" t="s">
        <v>12</v>
      </c>
    </row>
    <row r="296" spans="1:5" x14ac:dyDescent="0.35">
      <c r="A296" s="9">
        <v>45657</v>
      </c>
      <c r="B296" s="10" t="s">
        <v>21</v>
      </c>
      <c r="C296" s="11">
        <v>1466.711096</v>
      </c>
      <c r="D296" s="21">
        <v>6.1634093722820844E-3</v>
      </c>
      <c r="E296" t="s">
        <v>6</v>
      </c>
    </row>
    <row r="297" spans="1:5" x14ac:dyDescent="0.35">
      <c r="A297" s="9">
        <v>45657</v>
      </c>
      <c r="B297" s="12" t="s">
        <v>22</v>
      </c>
      <c r="C297" s="13">
        <v>212372.10109600003</v>
      </c>
      <c r="D297" s="18">
        <v>1</v>
      </c>
      <c r="E297" s="1" t="s">
        <v>10</v>
      </c>
    </row>
    <row r="298" spans="1:5" x14ac:dyDescent="0.35">
      <c r="A298" s="5">
        <v>45688</v>
      </c>
      <c r="B298" s="2" t="s">
        <v>16</v>
      </c>
      <c r="C298" s="7">
        <v>22755.599999999999</v>
      </c>
      <c r="D298" s="4">
        <v>9.1994402953812782E-2</v>
      </c>
      <c r="E298" t="s">
        <v>6</v>
      </c>
    </row>
    <row r="299" spans="1:5" x14ac:dyDescent="0.35">
      <c r="A299" s="5">
        <v>45688</v>
      </c>
      <c r="B299" s="2" t="s">
        <v>17</v>
      </c>
      <c r="C299" s="7">
        <v>5645.72</v>
      </c>
      <c r="D299" s="4">
        <v>2.2824036309497441E-2</v>
      </c>
      <c r="E299" t="s">
        <v>6</v>
      </c>
    </row>
    <row r="300" spans="1:5" x14ac:dyDescent="0.35">
      <c r="A300" s="5">
        <v>45688</v>
      </c>
      <c r="B300" s="2" t="s">
        <v>18</v>
      </c>
      <c r="C300" s="7">
        <v>55620.77</v>
      </c>
      <c r="D300" s="4">
        <v>0.22485891507942402</v>
      </c>
      <c r="E300" t="s">
        <v>6</v>
      </c>
    </row>
    <row r="301" spans="1:5" x14ac:dyDescent="0.35">
      <c r="A301" s="5">
        <v>45688</v>
      </c>
      <c r="B301" s="2" t="s">
        <v>9</v>
      </c>
      <c r="C301" s="7">
        <v>-25598.639999999999</v>
      </c>
      <c r="D301" s="4">
        <v>1</v>
      </c>
      <c r="E301" t="s">
        <v>10</v>
      </c>
    </row>
    <row r="302" spans="1:5" x14ac:dyDescent="0.35">
      <c r="A302" s="5">
        <v>45688</v>
      </c>
      <c r="B302" s="2" t="s">
        <v>19</v>
      </c>
      <c r="C302" s="7">
        <v>30159.66</v>
      </c>
      <c r="D302" s="4">
        <v>0.12192690656321913</v>
      </c>
      <c r="E302" t="s">
        <v>12</v>
      </c>
    </row>
    <row r="303" spans="1:5" x14ac:dyDescent="0.35">
      <c r="A303" s="5">
        <v>45688</v>
      </c>
      <c r="B303" s="2" t="s">
        <v>20</v>
      </c>
      <c r="C303" s="7">
        <v>131693.89000000001</v>
      </c>
      <c r="D303" s="4">
        <v>0.53240085004197191</v>
      </c>
      <c r="E303" t="s">
        <v>12</v>
      </c>
    </row>
    <row r="304" spans="1:5" x14ac:dyDescent="0.35">
      <c r="A304" s="5">
        <v>45688</v>
      </c>
      <c r="B304" s="2" t="s">
        <v>21</v>
      </c>
      <c r="C304" s="7">
        <v>1482.886925</v>
      </c>
      <c r="D304" s="4">
        <v>5.9948890520746699E-3</v>
      </c>
      <c r="E304" t="s">
        <v>6</v>
      </c>
    </row>
    <row r="305" spans="1:5" x14ac:dyDescent="0.35">
      <c r="A305" s="5">
        <v>45688</v>
      </c>
      <c r="B305" s="3" t="s">
        <v>22</v>
      </c>
      <c r="C305" s="8">
        <v>221759.886925</v>
      </c>
      <c r="D305" s="23">
        <v>1</v>
      </c>
      <c r="E305" s="1" t="s">
        <v>10</v>
      </c>
    </row>
    <row r="306" spans="1:5" x14ac:dyDescent="0.35">
      <c r="A306" s="5">
        <v>45716</v>
      </c>
      <c r="B306" s="2" t="s">
        <v>16</v>
      </c>
      <c r="C306" s="7">
        <v>23748.219999999998</v>
      </c>
      <c r="D306" s="4">
        <v>9.7467624805072609E-2</v>
      </c>
      <c r="E306" t="s">
        <v>6</v>
      </c>
    </row>
    <row r="307" spans="1:5" x14ac:dyDescent="0.35">
      <c r="A307" s="5">
        <v>45716</v>
      </c>
      <c r="B307" s="2" t="s">
        <v>17</v>
      </c>
      <c r="C307" s="7">
        <v>4138.83</v>
      </c>
      <c r="D307" s="4">
        <v>1.698661750531108E-2</v>
      </c>
      <c r="E307" t="s">
        <v>6</v>
      </c>
    </row>
    <row r="308" spans="1:5" x14ac:dyDescent="0.35">
      <c r="A308" s="5">
        <v>45716</v>
      </c>
      <c r="B308" s="2" t="s">
        <v>18</v>
      </c>
      <c r="C308" s="7">
        <v>55014.1</v>
      </c>
      <c r="D308" s="4">
        <v>0.22578928685134067</v>
      </c>
      <c r="E308" t="s">
        <v>6</v>
      </c>
    </row>
    <row r="309" spans="1:5" x14ac:dyDescent="0.35">
      <c r="A309" s="5">
        <v>45716</v>
      </c>
      <c r="B309" s="2" t="s">
        <v>9</v>
      </c>
      <c r="C309" s="7">
        <v>-25598.639999999999</v>
      </c>
      <c r="D309" s="4">
        <v>1</v>
      </c>
      <c r="E309" t="s">
        <v>10</v>
      </c>
    </row>
    <row r="310" spans="1:5" x14ac:dyDescent="0.35">
      <c r="A310" s="5">
        <v>45716</v>
      </c>
      <c r="B310" s="2" t="s">
        <v>19</v>
      </c>
      <c r="C310" s="7">
        <v>30159.66</v>
      </c>
      <c r="D310" s="4">
        <v>0.1237815055245638</v>
      </c>
      <c r="E310" t="s">
        <v>12</v>
      </c>
    </row>
    <row r="311" spans="1:5" x14ac:dyDescent="0.35">
      <c r="A311" s="5">
        <v>45716</v>
      </c>
      <c r="B311" s="2" t="s">
        <v>20</v>
      </c>
      <c r="C311" s="7">
        <v>129109.79</v>
      </c>
      <c r="D311" s="4">
        <v>0.52989338023572785</v>
      </c>
      <c r="E311" t="s">
        <v>12</v>
      </c>
    </row>
    <row r="312" spans="1:5" x14ac:dyDescent="0.35">
      <c r="A312" s="5">
        <v>45716</v>
      </c>
      <c r="B312" s="2" t="s">
        <v>21</v>
      </c>
      <c r="C312" s="7">
        <v>1481.7927560000001</v>
      </c>
      <c r="D312" s="4">
        <v>6.0815850779840563E-3</v>
      </c>
      <c r="E312" t="s">
        <v>6</v>
      </c>
    </row>
    <row r="313" spans="1:5" x14ac:dyDescent="0.35">
      <c r="A313" s="5">
        <v>45716</v>
      </c>
      <c r="B313" s="3" t="s">
        <v>22</v>
      </c>
      <c r="C313" s="8">
        <v>218053.752756</v>
      </c>
      <c r="D313" s="23">
        <v>1</v>
      </c>
      <c r="E313" s="1" t="s">
        <v>10</v>
      </c>
    </row>
    <row r="314" spans="1:5" x14ac:dyDescent="0.35">
      <c r="A314" s="5">
        <v>45747</v>
      </c>
      <c r="B314" s="2" t="s">
        <v>16</v>
      </c>
      <c r="C314" s="7">
        <v>25867.39</v>
      </c>
      <c r="D314" s="4">
        <v>0.11191844986941224</v>
      </c>
      <c r="E314" t="s">
        <v>6</v>
      </c>
    </row>
    <row r="315" spans="1:5" x14ac:dyDescent="0.35">
      <c r="A315" s="5">
        <v>45747</v>
      </c>
      <c r="B315" s="2" t="s">
        <v>17</v>
      </c>
      <c r="C315" s="7">
        <v>3677.17</v>
      </c>
      <c r="D315" s="4">
        <v>1.5909729056789518E-2</v>
      </c>
      <c r="E315" t="s">
        <v>6</v>
      </c>
    </row>
    <row r="316" spans="1:5" x14ac:dyDescent="0.35">
      <c r="A316" s="5">
        <v>45747</v>
      </c>
      <c r="B316" s="2" t="s">
        <v>18</v>
      </c>
      <c r="C316" s="7">
        <v>52639.519999999997</v>
      </c>
      <c r="D316" s="4">
        <v>0.22775136881880709</v>
      </c>
      <c r="E316" t="s">
        <v>6</v>
      </c>
    </row>
    <row r="317" spans="1:5" x14ac:dyDescent="0.35">
      <c r="A317" s="5">
        <v>45747</v>
      </c>
      <c r="B317" s="2" t="s">
        <v>9</v>
      </c>
      <c r="C317" s="7">
        <v>-25598.639999999999</v>
      </c>
      <c r="D317" s="4">
        <v>1</v>
      </c>
      <c r="E317" t="s">
        <v>10</v>
      </c>
    </row>
    <row r="318" spans="1:5" x14ac:dyDescent="0.35">
      <c r="A318" s="5">
        <v>45747</v>
      </c>
      <c r="B318" s="2" t="s">
        <v>19</v>
      </c>
      <c r="C318" s="7">
        <v>29315.09</v>
      </c>
      <c r="D318" s="4">
        <v>0.12683534869897226</v>
      </c>
      <c r="E318" t="s">
        <v>12</v>
      </c>
    </row>
    <row r="319" spans="1:5" x14ac:dyDescent="0.35">
      <c r="A319" s="5">
        <v>45747</v>
      </c>
      <c r="B319" s="2" t="s">
        <v>20</v>
      </c>
      <c r="C319" s="7">
        <v>118201.53</v>
      </c>
      <c r="D319" s="4">
        <v>0.51141348275928988</v>
      </c>
      <c r="E319" t="s">
        <v>12</v>
      </c>
    </row>
    <row r="320" spans="1:5" x14ac:dyDescent="0.35">
      <c r="A320" s="5">
        <v>45747</v>
      </c>
      <c r="B320" s="2" t="s">
        <v>21</v>
      </c>
      <c r="C320" s="7">
        <v>1426.4289960000001</v>
      </c>
      <c r="D320" s="4">
        <v>6.1716207967290881E-3</v>
      </c>
      <c r="E320" t="s">
        <v>6</v>
      </c>
    </row>
    <row r="321" spans="1:5" s="1" customFormat="1" x14ac:dyDescent="0.35">
      <c r="A321" s="5">
        <v>45747</v>
      </c>
      <c r="B321" s="3" t="s">
        <v>22</v>
      </c>
      <c r="C321" s="8">
        <v>205528.488996</v>
      </c>
      <c r="D321" s="23">
        <v>1</v>
      </c>
      <c r="E321" s="1" t="s">
        <v>10</v>
      </c>
    </row>
    <row r="322" spans="1:5" x14ac:dyDescent="0.35">
      <c r="A322" s="5">
        <v>45777</v>
      </c>
      <c r="B322" s="2" t="s">
        <v>16</v>
      </c>
      <c r="C322" s="7">
        <v>13708.15</v>
      </c>
      <c r="D322" s="4">
        <v>6.0157343105793286E-2</v>
      </c>
      <c r="E322" t="s">
        <v>6</v>
      </c>
    </row>
    <row r="323" spans="1:5" x14ac:dyDescent="0.35">
      <c r="A323" s="5">
        <v>45777</v>
      </c>
      <c r="B323" s="2" t="s">
        <v>17</v>
      </c>
      <c r="C323" s="7">
        <v>3834.84</v>
      </c>
      <c r="D323" s="4">
        <v>1.6828951071867489E-2</v>
      </c>
      <c r="E323" t="s">
        <v>6</v>
      </c>
    </row>
    <row r="324" spans="1:5" x14ac:dyDescent="0.35">
      <c r="A324" s="5">
        <v>45777</v>
      </c>
      <c r="B324" s="2" t="s">
        <v>18</v>
      </c>
      <c r="C324" s="7">
        <v>64665.120000000003</v>
      </c>
      <c r="D324" s="4">
        <v>0.28377876014030307</v>
      </c>
      <c r="E324" t="s">
        <v>6</v>
      </c>
    </row>
    <row r="325" spans="1:5" x14ac:dyDescent="0.35">
      <c r="A325" s="5">
        <v>45777</v>
      </c>
      <c r="B325" s="2" t="s">
        <v>9</v>
      </c>
      <c r="C325" s="7">
        <v>-25598.639999999999</v>
      </c>
      <c r="D325" s="4">
        <v>1</v>
      </c>
      <c r="E325" t="s">
        <v>10</v>
      </c>
    </row>
    <row r="326" spans="1:5" x14ac:dyDescent="0.35">
      <c r="A326" s="5">
        <v>45777</v>
      </c>
      <c r="B326" s="2" t="s">
        <v>19</v>
      </c>
      <c r="C326" s="7">
        <v>29315.09</v>
      </c>
      <c r="D326" s="4">
        <v>0.12864740517919704</v>
      </c>
      <c r="E326" t="s">
        <v>12</v>
      </c>
    </row>
    <row r="327" spans="1:5" x14ac:dyDescent="0.35">
      <c r="A327" s="5">
        <v>45777</v>
      </c>
      <c r="B327" s="2" t="s">
        <v>20</v>
      </c>
      <c r="C327" s="7">
        <v>114908.98</v>
      </c>
      <c r="D327" s="4">
        <v>0.50427073936284172</v>
      </c>
      <c r="E327" t="s">
        <v>12</v>
      </c>
    </row>
    <row r="328" spans="1:5" x14ac:dyDescent="0.35">
      <c r="A328" s="5">
        <v>45777</v>
      </c>
      <c r="B328" s="2" t="s">
        <v>21</v>
      </c>
      <c r="C328" s="7">
        <v>1439.4195800000002</v>
      </c>
      <c r="D328" s="4">
        <v>6.3168011399975113E-3</v>
      </c>
      <c r="E328" t="s">
        <v>6</v>
      </c>
    </row>
    <row r="329" spans="1:5" s="1" customFormat="1" x14ac:dyDescent="0.35">
      <c r="A329" s="5">
        <v>45777</v>
      </c>
      <c r="B329" s="3" t="s">
        <v>22</v>
      </c>
      <c r="C329" s="8">
        <v>202272.95957999997</v>
      </c>
      <c r="D329" s="23">
        <v>1</v>
      </c>
      <c r="E329" s="1" t="s">
        <v>10</v>
      </c>
    </row>
    <row r="330" spans="1:5" x14ac:dyDescent="0.35">
      <c r="A330" s="5">
        <v>45808</v>
      </c>
      <c r="B330" s="2" t="s">
        <v>16</v>
      </c>
      <c r="C330" s="7">
        <v>13001.05</v>
      </c>
      <c r="D330" s="4">
        <v>5.4876422676015904E-2</v>
      </c>
      <c r="E330" t="s">
        <v>6</v>
      </c>
    </row>
    <row r="331" spans="1:5" x14ac:dyDescent="0.35">
      <c r="A331" s="5">
        <v>45808</v>
      </c>
      <c r="B331" s="2" t="s">
        <v>17</v>
      </c>
      <c r="C331" s="7">
        <v>4055.45</v>
      </c>
      <c r="D331" s="4">
        <v>1.7117739593451968E-2</v>
      </c>
      <c r="E331" t="s">
        <v>6</v>
      </c>
    </row>
    <row r="332" spans="1:5" x14ac:dyDescent="0.35">
      <c r="A332" s="5">
        <v>45808</v>
      </c>
      <c r="B332" s="2" t="s">
        <v>18</v>
      </c>
      <c r="C332" s="7">
        <v>69377.119999999995</v>
      </c>
      <c r="D332" s="4">
        <v>0.29283543722735289</v>
      </c>
      <c r="E332" t="s">
        <v>6</v>
      </c>
    </row>
    <row r="333" spans="1:5" x14ac:dyDescent="0.35">
      <c r="A333" s="5">
        <v>45808</v>
      </c>
      <c r="B333" s="2" t="s">
        <v>9</v>
      </c>
      <c r="C333" s="7">
        <v>-25598.639999999999</v>
      </c>
      <c r="D333" s="4">
        <v>1</v>
      </c>
      <c r="E333" t="s">
        <v>10</v>
      </c>
    </row>
    <row r="334" spans="1:5" x14ac:dyDescent="0.35">
      <c r="A334" s="5">
        <v>45808</v>
      </c>
      <c r="B334" s="2" t="s">
        <v>19</v>
      </c>
      <c r="C334" s="7">
        <v>29315.09</v>
      </c>
      <c r="D334" s="4">
        <v>0.12373671892850556</v>
      </c>
      <c r="E334" t="s">
        <v>12</v>
      </c>
    </row>
    <row r="335" spans="1:5" x14ac:dyDescent="0.35">
      <c r="A335" s="5">
        <v>45808</v>
      </c>
      <c r="B335" s="2" t="s">
        <v>20</v>
      </c>
      <c r="C335" s="7">
        <v>119712.99</v>
      </c>
      <c r="D335" s="4">
        <v>0.50529923652702402</v>
      </c>
      <c r="E335" t="s">
        <v>12</v>
      </c>
    </row>
    <row r="336" spans="1:5" x14ac:dyDescent="0.35">
      <c r="A336" s="5">
        <v>45808</v>
      </c>
      <c r="B336" s="2" t="s">
        <v>21</v>
      </c>
      <c r="C336" s="7">
        <v>1453.342308</v>
      </c>
      <c r="D336" s="4">
        <v>6.134445047649574E-3</v>
      </c>
      <c r="E336" t="s">
        <v>6</v>
      </c>
    </row>
    <row r="337" spans="1:5" s="1" customFormat="1" x14ac:dyDescent="0.35">
      <c r="A337" s="5">
        <v>45808</v>
      </c>
      <c r="B337" s="3" t="s">
        <v>22</v>
      </c>
      <c r="C337" s="8">
        <v>211316.40230799999</v>
      </c>
      <c r="D337" s="23">
        <v>1</v>
      </c>
      <c r="E337" s="1" t="s">
        <v>10</v>
      </c>
    </row>
    <row r="338" spans="1:5" x14ac:dyDescent="0.35">
      <c r="A338" s="5">
        <v>45838</v>
      </c>
      <c r="B338" s="2" t="s">
        <v>16</v>
      </c>
      <c r="C338" s="7">
        <v>13965.32</v>
      </c>
      <c r="D338" s="4">
        <v>5.723566387306854E-2</v>
      </c>
      <c r="E338" t="s">
        <v>6</v>
      </c>
    </row>
    <row r="339" spans="1:5" x14ac:dyDescent="0.35">
      <c r="A339" s="5">
        <v>45838</v>
      </c>
      <c r="B339" s="2" t="s">
        <v>17</v>
      </c>
      <c r="C339" s="7">
        <v>3726.71</v>
      </c>
      <c r="D339" s="4">
        <v>1.5273600670260564E-2</v>
      </c>
      <c r="E339" t="s">
        <v>6</v>
      </c>
    </row>
    <row r="340" spans="1:5" x14ac:dyDescent="0.35">
      <c r="A340" s="5">
        <v>45838</v>
      </c>
      <c r="B340" s="2" t="s">
        <v>18</v>
      </c>
      <c r="C340" s="7">
        <v>71958.13</v>
      </c>
      <c r="D340" s="4">
        <v>0.29491421189164085</v>
      </c>
      <c r="E340" t="s">
        <v>6</v>
      </c>
    </row>
    <row r="341" spans="1:5" x14ac:dyDescent="0.35">
      <c r="A341" s="5">
        <v>45838</v>
      </c>
      <c r="B341" s="2" t="s">
        <v>9</v>
      </c>
      <c r="C341" s="7">
        <v>-25598.639999999999</v>
      </c>
      <c r="D341" s="4">
        <v>1</v>
      </c>
      <c r="E341" t="s">
        <v>10</v>
      </c>
    </row>
    <row r="342" spans="1:5" x14ac:dyDescent="0.35">
      <c r="A342" s="5">
        <v>45838</v>
      </c>
      <c r="B342" s="2" t="s">
        <v>19</v>
      </c>
      <c r="C342" s="7">
        <v>32547.97</v>
      </c>
      <c r="D342" s="4">
        <v>0.13339505794859829</v>
      </c>
      <c r="E342" t="s">
        <v>12</v>
      </c>
    </row>
    <row r="343" spans="1:5" x14ac:dyDescent="0.35">
      <c r="A343" s="5">
        <v>45838</v>
      </c>
      <c r="B343" s="2" t="s">
        <v>20</v>
      </c>
      <c r="C343" s="7">
        <v>120334</v>
      </c>
      <c r="D343" s="4">
        <v>0.49317855777753966</v>
      </c>
      <c r="E343" t="s">
        <v>12</v>
      </c>
    </row>
    <row r="344" spans="1:5" x14ac:dyDescent="0.35">
      <c r="A344" s="5">
        <v>45838</v>
      </c>
      <c r="B344" s="2" t="s">
        <v>21</v>
      </c>
      <c r="C344" s="7">
        <v>1464.6904260000001</v>
      </c>
      <c r="D344" s="4">
        <v>6.0029078388921684E-3</v>
      </c>
      <c r="E344" t="s">
        <v>6</v>
      </c>
    </row>
    <row r="345" spans="1:5" s="1" customFormat="1" x14ac:dyDescent="0.35">
      <c r="A345" s="5">
        <v>45838</v>
      </c>
      <c r="B345" s="3" t="s">
        <v>22</v>
      </c>
      <c r="C345" s="8">
        <v>218398.18042599998</v>
      </c>
      <c r="D345" s="23">
        <v>1</v>
      </c>
      <c r="E345" s="1" t="s">
        <v>10</v>
      </c>
    </row>
    <row r="346" spans="1:5" x14ac:dyDescent="0.35">
      <c r="A346" s="5">
        <v>45869</v>
      </c>
      <c r="B346" s="2" t="s">
        <v>16</v>
      </c>
      <c r="C346" s="7">
        <v>13427.94</v>
      </c>
      <c r="D346" s="4">
        <v>5.2990134384743169E-2</v>
      </c>
      <c r="E346" t="s">
        <v>6</v>
      </c>
    </row>
    <row r="347" spans="1:5" x14ac:dyDescent="0.35">
      <c r="A347" s="5">
        <v>45869</v>
      </c>
      <c r="B347" s="2" t="s">
        <v>17</v>
      </c>
      <c r="C347" s="7">
        <v>4347.25</v>
      </c>
      <c r="D347" s="4">
        <v>1.7155376156288659E-2</v>
      </c>
      <c r="E347" t="s">
        <v>6</v>
      </c>
    </row>
    <row r="348" spans="1:5" x14ac:dyDescent="0.35">
      <c r="A348" s="5">
        <v>45869</v>
      </c>
      <c r="B348" s="2" t="s">
        <v>18</v>
      </c>
      <c r="C348" s="7">
        <v>77753.440000000002</v>
      </c>
      <c r="D348" s="4">
        <v>0.30683524311815996</v>
      </c>
      <c r="E348" t="s">
        <v>6</v>
      </c>
    </row>
    <row r="349" spans="1:5" x14ac:dyDescent="0.35">
      <c r="A349" s="5">
        <v>45869</v>
      </c>
      <c r="B349" s="2" t="s">
        <v>9</v>
      </c>
      <c r="C349" s="7">
        <v>-25598.639999999999</v>
      </c>
      <c r="D349" s="4">
        <v>1</v>
      </c>
      <c r="E349" t="s">
        <v>10</v>
      </c>
    </row>
    <row r="350" spans="1:5" x14ac:dyDescent="0.35">
      <c r="A350" s="5">
        <v>45869</v>
      </c>
      <c r="B350" s="2" t="s">
        <v>19</v>
      </c>
      <c r="C350" s="7">
        <v>32547.97</v>
      </c>
      <c r="D350" s="4">
        <v>0.12844273241097212</v>
      </c>
      <c r="E350" t="s">
        <v>12</v>
      </c>
    </row>
    <row r="351" spans="1:5" x14ac:dyDescent="0.35">
      <c r="A351" s="5">
        <v>45869</v>
      </c>
      <c r="B351" s="2" t="s">
        <v>20</v>
      </c>
      <c r="C351" s="7">
        <v>123807.95</v>
      </c>
      <c r="D351" s="4">
        <v>0.48857828590234709</v>
      </c>
      <c r="E351" t="s">
        <v>12</v>
      </c>
    </row>
    <row r="352" spans="1:5" x14ac:dyDescent="0.35">
      <c r="A352" s="5">
        <v>45869</v>
      </c>
      <c r="B352" s="2" t="s">
        <v>21</v>
      </c>
      <c r="C352" s="7">
        <v>1519.978143</v>
      </c>
      <c r="D352" s="4">
        <v>5.9982280274891286E-3</v>
      </c>
      <c r="E352" t="s">
        <v>6</v>
      </c>
    </row>
    <row r="353" spans="1:5" x14ac:dyDescent="0.35">
      <c r="A353" s="5">
        <v>45869</v>
      </c>
      <c r="B353" s="3" t="s">
        <v>22</v>
      </c>
      <c r="C353" s="8">
        <v>227805.88814299999</v>
      </c>
      <c r="D353" s="23">
        <v>1</v>
      </c>
      <c r="E353" s="1" t="s">
        <v>10</v>
      </c>
    </row>
    <row r="354" spans="1:5" x14ac:dyDescent="0.35">
      <c r="A354" s="5">
        <v>45900</v>
      </c>
      <c r="B354" s="2" t="s">
        <v>16</v>
      </c>
      <c r="C354" s="7">
        <v>14036.75</v>
      </c>
      <c r="D354" s="4">
        <v>5.483569554658374E-2</v>
      </c>
      <c r="E354" t="s">
        <v>6</v>
      </c>
    </row>
    <row r="355" spans="1:5" x14ac:dyDescent="0.35">
      <c r="A355" s="5">
        <v>45900</v>
      </c>
      <c r="B355" s="2" t="s">
        <v>17</v>
      </c>
      <c r="C355" s="7">
        <v>4326.4799999999996</v>
      </c>
      <c r="D355" s="4">
        <v>1.6901742929694097E-2</v>
      </c>
      <c r="E355" t="s">
        <v>6</v>
      </c>
    </row>
    <row r="356" spans="1:5" x14ac:dyDescent="0.35">
      <c r="A356" s="5">
        <v>45900</v>
      </c>
      <c r="B356" s="2" t="s">
        <v>18</v>
      </c>
      <c r="C356" s="7">
        <v>80532</v>
      </c>
      <c r="D356" s="4">
        <v>0.31460475065506488</v>
      </c>
      <c r="E356" t="s">
        <v>6</v>
      </c>
    </row>
    <row r="357" spans="1:5" x14ac:dyDescent="0.35">
      <c r="A357" s="5">
        <v>45900</v>
      </c>
      <c r="B357" s="2" t="s">
        <v>9</v>
      </c>
      <c r="C357" s="7">
        <v>-25598.639999999999</v>
      </c>
      <c r="D357" s="4">
        <v>1</v>
      </c>
      <c r="E357" t="s">
        <v>10</v>
      </c>
    </row>
    <row r="358" spans="1:5" x14ac:dyDescent="0.35">
      <c r="A358" s="5">
        <v>45900</v>
      </c>
      <c r="B358" s="2" t="s">
        <v>19</v>
      </c>
      <c r="C358" s="7">
        <v>32547.97</v>
      </c>
      <c r="D358" s="4">
        <v>0.12715126888911901</v>
      </c>
      <c r="E358" t="s">
        <v>12</v>
      </c>
    </row>
    <row r="359" spans="1:5" x14ac:dyDescent="0.35">
      <c r="A359" s="5">
        <v>45900</v>
      </c>
      <c r="B359" s="2" t="s">
        <v>20</v>
      </c>
      <c r="C359" s="7">
        <v>122992.56</v>
      </c>
      <c r="D359" s="4">
        <v>0.480480351552527</v>
      </c>
      <c r="E359" t="s">
        <v>12</v>
      </c>
    </row>
    <row r="360" spans="1:5" x14ac:dyDescent="0.35">
      <c r="A360" s="5">
        <v>45900</v>
      </c>
      <c r="B360" s="2" t="s">
        <v>21</v>
      </c>
      <c r="C360" s="7">
        <v>1542.5741870000002</v>
      </c>
      <c r="D360" s="4">
        <v>6.0261904270113055E-3</v>
      </c>
      <c r="E360" t="s">
        <v>6</v>
      </c>
    </row>
    <row r="361" spans="1:5" x14ac:dyDescent="0.35">
      <c r="A361" s="5">
        <v>45900</v>
      </c>
      <c r="B361" s="3" t="s">
        <v>22</v>
      </c>
      <c r="C361" s="8">
        <v>230379.69418699999</v>
      </c>
      <c r="D361" s="23">
        <v>1</v>
      </c>
      <c r="E361" s="1" t="s">
        <v>10</v>
      </c>
    </row>
    <row r="362" spans="1:5" x14ac:dyDescent="0.35">
      <c r="A362" s="5">
        <v>45930</v>
      </c>
      <c r="B362" s="2" t="s">
        <v>16</v>
      </c>
      <c r="C362" s="7">
        <v>13888.36</v>
      </c>
      <c r="D362" s="4">
        <v>5.2649814748573061E-2</v>
      </c>
      <c r="E362" t="s">
        <v>6</v>
      </c>
    </row>
    <row r="363" spans="1:5" x14ac:dyDescent="0.35">
      <c r="A363" s="5">
        <v>45930</v>
      </c>
      <c r="B363" s="2" t="s">
        <v>17</v>
      </c>
      <c r="C363" s="7">
        <v>4322.51</v>
      </c>
      <c r="D363" s="4">
        <v>1.6386337245639839E-2</v>
      </c>
      <c r="E363" t="s">
        <v>6</v>
      </c>
    </row>
    <row r="364" spans="1:5" x14ac:dyDescent="0.35">
      <c r="A364" s="5">
        <v>45930</v>
      </c>
      <c r="B364" s="2" t="s">
        <v>18</v>
      </c>
      <c r="C364" s="7">
        <v>85443.46</v>
      </c>
      <c r="D364" s="4">
        <v>0.3239102630171678</v>
      </c>
      <c r="E364" t="s">
        <v>6</v>
      </c>
    </row>
    <row r="365" spans="1:5" x14ac:dyDescent="0.35">
      <c r="A365" s="5">
        <v>45930</v>
      </c>
      <c r="B365" s="2" t="s">
        <v>9</v>
      </c>
      <c r="C365" s="7">
        <v>-25598.639999999999</v>
      </c>
      <c r="D365" s="4">
        <v>1</v>
      </c>
      <c r="E365" t="s">
        <v>10</v>
      </c>
    </row>
    <row r="366" spans="1:5" x14ac:dyDescent="0.35">
      <c r="A366" s="5">
        <v>45930</v>
      </c>
      <c r="B366" s="2" t="s">
        <v>19</v>
      </c>
      <c r="C366" s="7">
        <v>33224.74</v>
      </c>
      <c r="D366" s="4">
        <v>0.12595269751572577</v>
      </c>
      <c r="E366" t="s">
        <v>12</v>
      </c>
    </row>
    <row r="367" spans="1:5" x14ac:dyDescent="0.35">
      <c r="A367" s="5">
        <v>45930</v>
      </c>
      <c r="B367" s="2" t="s">
        <v>20</v>
      </c>
      <c r="C367" s="7">
        <v>125328.55</v>
      </c>
      <c r="D367" s="4">
        <v>0.47511188795561721</v>
      </c>
      <c r="E367" t="s">
        <v>12</v>
      </c>
    </row>
    <row r="368" spans="1:5" x14ac:dyDescent="0.35">
      <c r="A368" s="5">
        <v>45930</v>
      </c>
      <c r="B368" s="2" t="s">
        <v>21</v>
      </c>
      <c r="C368" s="7">
        <v>1579.822868</v>
      </c>
      <c r="D368" s="4">
        <v>5.9889995172762939E-3</v>
      </c>
      <c r="E368" t="s">
        <v>6</v>
      </c>
    </row>
    <row r="369" spans="1:5" s="1" customFormat="1" x14ac:dyDescent="0.35">
      <c r="A369" s="5">
        <v>45930</v>
      </c>
      <c r="B369" s="3" t="s">
        <v>22</v>
      </c>
      <c r="C369" s="8">
        <v>238188.80286800003</v>
      </c>
      <c r="D369" s="23">
        <v>1</v>
      </c>
      <c r="E369" s="1" t="s">
        <v>10</v>
      </c>
    </row>
    <row r="370" spans="1:5" x14ac:dyDescent="0.35">
      <c r="A370" s="5">
        <v>45961</v>
      </c>
      <c r="B370" s="2" t="s">
        <v>16</v>
      </c>
      <c r="C370" s="7">
        <v>14281.619999999999</v>
      </c>
      <c r="D370" s="4">
        <v>5.1259013867486311E-2</v>
      </c>
      <c r="E370" t="s">
        <v>6</v>
      </c>
    </row>
    <row r="371" spans="1:5" x14ac:dyDescent="0.35">
      <c r="A371" s="5">
        <v>45961</v>
      </c>
      <c r="B371" s="2" t="s">
        <v>17</v>
      </c>
      <c r="C371" s="7">
        <v>3893.58</v>
      </c>
      <c r="D371" s="4">
        <v>1.3974680128316491E-2</v>
      </c>
      <c r="E371" t="s">
        <v>6</v>
      </c>
    </row>
    <row r="372" spans="1:5" x14ac:dyDescent="0.35">
      <c r="A372" s="5">
        <v>45961</v>
      </c>
      <c r="B372" s="2" t="s">
        <v>18</v>
      </c>
      <c r="C372" s="7">
        <v>96780.479999999996</v>
      </c>
      <c r="D372" s="4">
        <v>0.3473605911949752</v>
      </c>
      <c r="E372" t="s">
        <v>6</v>
      </c>
    </row>
    <row r="373" spans="1:5" x14ac:dyDescent="0.35">
      <c r="A373" s="5">
        <v>45961</v>
      </c>
      <c r="B373" s="2" t="s">
        <v>9</v>
      </c>
      <c r="C373" s="7">
        <v>-25598.639999999999</v>
      </c>
      <c r="D373" s="4">
        <v>1</v>
      </c>
      <c r="E373" t="s">
        <v>10</v>
      </c>
    </row>
    <row r="374" spans="1:5" x14ac:dyDescent="0.35">
      <c r="A374" s="5">
        <v>45961</v>
      </c>
      <c r="B374" s="2" t="s">
        <v>19</v>
      </c>
      <c r="C374" s="7">
        <v>33224.74</v>
      </c>
      <c r="D374" s="4">
        <v>0.1192488953216531</v>
      </c>
      <c r="E374" t="s">
        <v>12</v>
      </c>
    </row>
    <row r="375" spans="1:5" x14ac:dyDescent="0.35">
      <c r="A375" s="5">
        <v>45961</v>
      </c>
      <c r="B375" s="2" t="s">
        <v>20</v>
      </c>
      <c r="C375" s="7">
        <v>128835.82</v>
      </c>
      <c r="D375" s="4">
        <v>0.46241232325247217</v>
      </c>
      <c r="E375" t="s">
        <v>12</v>
      </c>
    </row>
    <row r="376" spans="1:5" x14ac:dyDescent="0.35">
      <c r="A376" s="5">
        <v>45961</v>
      </c>
      <c r="B376" s="2" t="s">
        <v>21</v>
      </c>
      <c r="C376" s="7">
        <v>1600.512888</v>
      </c>
      <c r="D376" s="4">
        <v>5.7444962350967589E-3</v>
      </c>
      <c r="E376" t="s">
        <v>6</v>
      </c>
    </row>
    <row r="377" spans="1:5" s="1" customFormat="1" x14ac:dyDescent="0.35">
      <c r="A377" s="5">
        <v>45961</v>
      </c>
      <c r="B377" s="3" t="s">
        <v>22</v>
      </c>
      <c r="C377" s="8">
        <v>253018.112888</v>
      </c>
      <c r="D377" s="23">
        <v>1</v>
      </c>
      <c r="E377" s="1" t="s">
        <v>10</v>
      </c>
    </row>
    <row r="378" spans="1:5" x14ac:dyDescent="0.35">
      <c r="A378" s="5">
        <v>45991</v>
      </c>
      <c r="B378" s="2" t="s">
        <v>16</v>
      </c>
      <c r="C378" s="7">
        <v>14130.42</v>
      </c>
      <c r="D378" s="4">
        <v>5.0614482024172368E-2</v>
      </c>
      <c r="E378" t="s">
        <v>6</v>
      </c>
    </row>
    <row r="379" spans="1:5" x14ac:dyDescent="0.35">
      <c r="A379" s="5">
        <v>45991</v>
      </c>
      <c r="B379" s="2" t="s">
        <v>17</v>
      </c>
      <c r="C379" s="7">
        <v>3302.47</v>
      </c>
      <c r="D379" s="4">
        <v>1.1829288050204346E-2</v>
      </c>
      <c r="E379" t="s">
        <v>6</v>
      </c>
    </row>
    <row r="380" spans="1:5" x14ac:dyDescent="0.35">
      <c r="A380" s="5">
        <v>45991</v>
      </c>
      <c r="B380" s="2" t="s">
        <v>18</v>
      </c>
      <c r="C380" s="7">
        <v>99051.48000000001</v>
      </c>
      <c r="D380" s="4">
        <v>0.35479761775854285</v>
      </c>
      <c r="E380" t="s">
        <v>6</v>
      </c>
    </row>
    <row r="381" spans="1:5" x14ac:dyDescent="0.35">
      <c r="A381" s="5">
        <v>45991</v>
      </c>
      <c r="B381" s="2" t="s">
        <v>9</v>
      </c>
      <c r="C381" s="7">
        <v>-25598.639999999999</v>
      </c>
      <c r="D381" s="4">
        <v>1</v>
      </c>
      <c r="E381" t="s">
        <v>10</v>
      </c>
    </row>
    <row r="382" spans="1:5" x14ac:dyDescent="0.35">
      <c r="A382" s="5">
        <v>45991</v>
      </c>
      <c r="B382" s="2" t="s">
        <v>19</v>
      </c>
      <c r="C382" s="7">
        <v>33224.74</v>
      </c>
      <c r="D382" s="4">
        <v>0.11900941412129296</v>
      </c>
      <c r="E382" t="s">
        <v>12</v>
      </c>
    </row>
    <row r="383" spans="1:5" x14ac:dyDescent="0.35">
      <c r="A383" s="5">
        <v>45991</v>
      </c>
      <c r="B383" s="2" t="s">
        <v>20</v>
      </c>
      <c r="C383" s="7">
        <v>127885.82</v>
      </c>
      <c r="D383" s="4">
        <v>0.45808083111022485</v>
      </c>
      <c r="E383" t="s">
        <v>12</v>
      </c>
    </row>
    <row r="384" spans="1:5" x14ac:dyDescent="0.35">
      <c r="A384" s="5">
        <v>45991</v>
      </c>
      <c r="B384" s="2" t="s">
        <v>21</v>
      </c>
      <c r="C384" s="7">
        <v>1582.48</v>
      </c>
      <c r="D384" s="4">
        <v>5.6683669355625868E-3</v>
      </c>
      <c r="E384" t="s">
        <v>6</v>
      </c>
    </row>
    <row r="385" spans="1:5" s="1" customFormat="1" x14ac:dyDescent="0.35">
      <c r="A385" s="5">
        <v>45991</v>
      </c>
      <c r="B385" s="3" t="s">
        <v>22</v>
      </c>
      <c r="C385" s="8">
        <v>253578.77000000002</v>
      </c>
      <c r="D385" s="23">
        <v>1</v>
      </c>
      <c r="E385" s="1" t="s">
        <v>10</v>
      </c>
    </row>
    <row r="386" spans="1:5" x14ac:dyDescent="0.35">
      <c r="A386" s="5">
        <v>46022</v>
      </c>
      <c r="B386" s="2" t="s">
        <v>16</v>
      </c>
      <c r="C386" s="7">
        <v>12101.380000000001</v>
      </c>
      <c r="D386" s="4">
        <v>3.1305278720765974E-2</v>
      </c>
      <c r="E386" t="s">
        <v>6</v>
      </c>
    </row>
    <row r="387" spans="1:5" x14ac:dyDescent="0.35">
      <c r="A387" s="5">
        <v>46022</v>
      </c>
      <c r="B387" s="2" t="s">
        <v>17</v>
      </c>
      <c r="C387" s="7">
        <v>3001.4</v>
      </c>
      <c r="D387" s="4">
        <v>7.7643759267543846E-3</v>
      </c>
      <c r="E387" t="s">
        <v>6</v>
      </c>
    </row>
    <row r="388" spans="1:5" x14ac:dyDescent="0.35">
      <c r="A388" s="5">
        <v>46022</v>
      </c>
      <c r="B388" s="2" t="s">
        <v>18</v>
      </c>
      <c r="C388" s="7">
        <v>106648.1</v>
      </c>
      <c r="D388" s="4">
        <v>0.27588989813889997</v>
      </c>
      <c r="E388" t="s">
        <v>6</v>
      </c>
    </row>
    <row r="389" spans="1:5" x14ac:dyDescent="0.35">
      <c r="A389" s="5">
        <v>46022</v>
      </c>
      <c r="B389" s="2" t="s">
        <v>9</v>
      </c>
      <c r="C389" s="7">
        <v>-25598.639999999999</v>
      </c>
      <c r="D389" s="4">
        <v>1</v>
      </c>
      <c r="E389" t="s">
        <v>10</v>
      </c>
    </row>
    <row r="390" spans="1:5" x14ac:dyDescent="0.35">
      <c r="A390" s="5">
        <v>46022</v>
      </c>
      <c r="B390" s="2" t="s">
        <v>19</v>
      </c>
      <c r="C390" s="7">
        <v>125469</v>
      </c>
      <c r="D390" s="4">
        <v>0.32457802463981672</v>
      </c>
      <c r="E390" t="s">
        <v>12</v>
      </c>
    </row>
    <row r="391" spans="1:5" x14ac:dyDescent="0.35">
      <c r="A391" s="5">
        <v>46022</v>
      </c>
      <c r="B391" s="2" t="s">
        <v>20</v>
      </c>
      <c r="C391" s="7">
        <v>137399.51</v>
      </c>
      <c r="D391" s="4">
        <v>0.35544127666817099</v>
      </c>
      <c r="E391" t="s">
        <v>12</v>
      </c>
    </row>
    <row r="392" spans="1:5" x14ac:dyDescent="0.35">
      <c r="A392" s="5">
        <v>46022</v>
      </c>
      <c r="B392" s="2" t="s">
        <v>21</v>
      </c>
      <c r="C392" s="7">
        <v>1940.9759990000002</v>
      </c>
      <c r="D392" s="4">
        <v>5.0211459055919385E-3</v>
      </c>
      <c r="E392" t="s">
        <v>6</v>
      </c>
    </row>
    <row r="393" spans="1:5" s="1" customFormat="1" x14ac:dyDescent="0.35">
      <c r="A393" s="5">
        <v>46022</v>
      </c>
      <c r="B393" s="3" t="s">
        <v>22</v>
      </c>
      <c r="C393" s="8">
        <v>360961.72599900002</v>
      </c>
      <c r="D393" s="23">
        <v>1</v>
      </c>
      <c r="E393" s="1" t="s">
        <v>10</v>
      </c>
    </row>
    <row r="394" spans="1:5" x14ac:dyDescent="0.35">
      <c r="A394" s="5">
        <v>46053</v>
      </c>
      <c r="B394" s="2" t="s">
        <v>16</v>
      </c>
      <c r="C394" s="7">
        <v>13248.28</v>
      </c>
      <c r="D394" s="4">
        <v>3.3975355529108686E-2</v>
      </c>
      <c r="E394" t="s">
        <v>6</v>
      </c>
    </row>
    <row r="395" spans="1:5" x14ac:dyDescent="0.35">
      <c r="A395" s="5">
        <v>46053</v>
      </c>
      <c r="B395" s="2" t="s">
        <v>17</v>
      </c>
      <c r="C395" s="7">
        <v>2715.32</v>
      </c>
      <c r="D395" s="4">
        <v>6.9634671350016298E-3</v>
      </c>
      <c r="E395" t="s">
        <v>6</v>
      </c>
    </row>
    <row r="396" spans="1:5" x14ac:dyDescent="0.35">
      <c r="A396" s="5">
        <v>46053</v>
      </c>
      <c r="B396" s="2" t="s">
        <v>18</v>
      </c>
      <c r="C396" s="7">
        <v>107146.69</v>
      </c>
      <c r="D396" s="4">
        <v>0.2747788306495027</v>
      </c>
      <c r="E396" t="s">
        <v>6</v>
      </c>
    </row>
    <row r="397" spans="1:5" x14ac:dyDescent="0.35">
      <c r="A397" s="5">
        <v>46053</v>
      </c>
      <c r="B397" s="2" t="s">
        <v>9</v>
      </c>
      <c r="C397" s="7">
        <v>-25647.82</v>
      </c>
      <c r="D397" s="4">
        <v>1</v>
      </c>
      <c r="E397" t="s">
        <v>10</v>
      </c>
    </row>
    <row r="398" spans="1:5" x14ac:dyDescent="0.35">
      <c r="A398" s="5">
        <v>46053</v>
      </c>
      <c r="B398" s="2" t="s">
        <v>19</v>
      </c>
      <c r="C398" s="7">
        <v>125469</v>
      </c>
      <c r="D398" s="4">
        <v>0.3217665902956261</v>
      </c>
      <c r="E398" t="s">
        <v>12</v>
      </c>
    </row>
    <row r="399" spans="1:5" x14ac:dyDescent="0.35">
      <c r="A399" s="5">
        <v>46053</v>
      </c>
      <c r="B399" s="2" t="s">
        <v>20</v>
      </c>
      <c r="C399" s="7">
        <v>139198.85</v>
      </c>
      <c r="D399" s="4">
        <v>0.35697693723208374</v>
      </c>
      <c r="E399" t="s">
        <v>12</v>
      </c>
    </row>
    <row r="400" spans="1:5" x14ac:dyDescent="0.35">
      <c r="A400" s="5">
        <v>46053</v>
      </c>
      <c r="B400" s="2" t="s">
        <v>21</v>
      </c>
      <c r="C400" s="7">
        <v>2159.795709</v>
      </c>
      <c r="D400" s="4">
        <v>5.5388191586770779E-3</v>
      </c>
      <c r="E400" t="s">
        <v>6</v>
      </c>
    </row>
    <row r="401" spans="1:5" s="1" customFormat="1" x14ac:dyDescent="0.35">
      <c r="A401" s="5">
        <v>46053</v>
      </c>
      <c r="B401" s="3" t="s">
        <v>22</v>
      </c>
      <c r="C401" s="8">
        <v>364290.11570900003</v>
      </c>
      <c r="D401" s="23">
        <v>1</v>
      </c>
      <c r="E401" s="1" t="s">
        <v>10</v>
      </c>
    </row>
    <row r="402" spans="1:5" x14ac:dyDescent="0.35">
      <c r="A402" s="5">
        <v>46081</v>
      </c>
      <c r="B402" s="2" t="s">
        <v>16</v>
      </c>
      <c r="C402" s="7">
        <v>11260.55</v>
      </c>
      <c r="D402" s="4">
        <v>2.927641405592794E-2</v>
      </c>
      <c r="E402" t="s">
        <v>6</v>
      </c>
    </row>
    <row r="403" spans="1:5" x14ac:dyDescent="0.35">
      <c r="A403" s="5">
        <v>46081</v>
      </c>
      <c r="B403" s="2" t="s">
        <v>17</v>
      </c>
      <c r="C403" s="7">
        <v>2469.62</v>
      </c>
      <c r="D403" s="4">
        <v>6.4207891871001649E-3</v>
      </c>
      <c r="E403" t="s">
        <v>6</v>
      </c>
    </row>
    <row r="404" spans="1:5" x14ac:dyDescent="0.35">
      <c r="A404" s="5">
        <v>46081</v>
      </c>
      <c r="B404" s="2" t="s">
        <v>18</v>
      </c>
      <c r="C404" s="7">
        <v>111148</v>
      </c>
      <c r="D404" s="4">
        <v>0.28897477205716227</v>
      </c>
      <c r="E404" t="s">
        <v>6</v>
      </c>
    </row>
    <row r="405" spans="1:5" x14ac:dyDescent="0.35">
      <c r="A405" s="5">
        <v>46081</v>
      </c>
      <c r="B405" s="2" t="s">
        <v>9</v>
      </c>
      <c r="C405" s="7">
        <v>-25697.09</v>
      </c>
      <c r="D405" s="4">
        <v>1</v>
      </c>
      <c r="E405" t="s">
        <v>10</v>
      </c>
    </row>
    <row r="406" spans="1:5" x14ac:dyDescent="0.35">
      <c r="A406" s="5">
        <v>46081</v>
      </c>
      <c r="B406" s="2" t="s">
        <v>19</v>
      </c>
      <c r="C406" s="7">
        <v>105469</v>
      </c>
      <c r="D406" s="4">
        <v>0.27420988442524247</v>
      </c>
      <c r="E406" t="s">
        <v>12</v>
      </c>
    </row>
    <row r="407" spans="1:5" x14ac:dyDescent="0.35">
      <c r="A407" s="5">
        <v>46081</v>
      </c>
      <c r="B407" s="2" t="s">
        <v>20</v>
      </c>
      <c r="C407" s="7">
        <v>153822</v>
      </c>
      <c r="D407" s="4">
        <v>0.3999233219435061</v>
      </c>
      <c r="E407" t="s">
        <v>12</v>
      </c>
    </row>
    <row r="408" spans="1:5" x14ac:dyDescent="0.35">
      <c r="A408" s="5">
        <v>46081</v>
      </c>
      <c r="B408" s="2" t="s">
        <v>21</v>
      </c>
      <c r="C408" s="7">
        <v>459.56145899999996</v>
      </c>
      <c r="D408" s="4">
        <v>1.194818331061125E-3</v>
      </c>
      <c r="E408" t="s">
        <v>6</v>
      </c>
    </row>
    <row r="409" spans="1:5" s="1" customFormat="1" x14ac:dyDescent="0.35">
      <c r="A409" s="5">
        <v>46081</v>
      </c>
      <c r="B409" s="3" t="s">
        <v>22</v>
      </c>
      <c r="C409" s="8">
        <v>358931.64145900001</v>
      </c>
      <c r="D409" s="23">
        <v>1</v>
      </c>
      <c r="E409" s="1" t="s">
        <v>10</v>
      </c>
    </row>
    <row r="410" spans="1:5" x14ac:dyDescent="0.35">
      <c r="A410" s="5">
        <v>46112</v>
      </c>
      <c r="B410" s="2" t="s">
        <v>16</v>
      </c>
      <c r="C410" s="7">
        <v>12004.7</v>
      </c>
      <c r="D410" s="4">
        <v>2.8512044936956225E-2</v>
      </c>
      <c r="E410" t="s">
        <v>6</v>
      </c>
    </row>
    <row r="411" spans="1:5" x14ac:dyDescent="0.35">
      <c r="A411" s="5">
        <v>46112</v>
      </c>
      <c r="B411" s="2" t="s">
        <v>17</v>
      </c>
      <c r="C411" s="7">
        <v>2521.39</v>
      </c>
      <c r="D411" s="4">
        <v>5.9884865913843784E-3</v>
      </c>
      <c r="E411" t="s">
        <v>6</v>
      </c>
    </row>
    <row r="412" spans="1:5" x14ac:dyDescent="0.35">
      <c r="A412" s="5">
        <v>46112</v>
      </c>
      <c r="B412" s="2" t="s">
        <v>18</v>
      </c>
      <c r="C412" s="7">
        <v>106813.08</v>
      </c>
      <c r="D412" s="4">
        <v>0.25368891657556625</v>
      </c>
      <c r="E412" t="s">
        <v>6</v>
      </c>
    </row>
    <row r="413" spans="1:5" x14ac:dyDescent="0.35">
      <c r="A413" s="5">
        <v>46112</v>
      </c>
      <c r="B413" s="2" t="s">
        <v>9</v>
      </c>
      <c r="C413" s="7">
        <v>-25746.46</v>
      </c>
      <c r="D413" s="4">
        <v>1</v>
      </c>
      <c r="E413" t="s">
        <v>10</v>
      </c>
    </row>
    <row r="414" spans="1:5" x14ac:dyDescent="0.35">
      <c r="A414" s="5">
        <v>46112</v>
      </c>
      <c r="B414" s="2" t="s">
        <v>19</v>
      </c>
      <c r="C414" s="7">
        <v>150956.20000000001</v>
      </c>
      <c r="D414" s="4">
        <v>0.35853207143136867</v>
      </c>
      <c r="E414" t="s">
        <v>12</v>
      </c>
    </row>
    <row r="415" spans="1:5" x14ac:dyDescent="0.35">
      <c r="A415" s="5">
        <v>46112</v>
      </c>
      <c r="B415" s="2" t="s">
        <v>20</v>
      </c>
      <c r="C415" s="7">
        <v>146492.10999999999</v>
      </c>
      <c r="D415" s="4">
        <v>0.34792952953672596</v>
      </c>
      <c r="E415" t="s">
        <v>12</v>
      </c>
    </row>
    <row r="416" spans="1:5" x14ac:dyDescent="0.35">
      <c r="A416" s="5">
        <v>46112</v>
      </c>
      <c r="B416" s="2" t="s">
        <v>23</v>
      </c>
      <c r="C416" s="7">
        <v>1211.27</v>
      </c>
      <c r="D416" s="4">
        <v>2.8768552875779456E-3</v>
      </c>
      <c r="E416" t="s">
        <v>6</v>
      </c>
    </row>
    <row r="417" spans="1:5" x14ac:dyDescent="0.35">
      <c r="A417" s="5">
        <v>46112</v>
      </c>
      <c r="B417" s="2" t="s">
        <v>21</v>
      </c>
      <c r="C417" s="7">
        <v>1040.85016</v>
      </c>
      <c r="D417" s="4">
        <v>2.4720956404206749E-3</v>
      </c>
      <c r="E417" t="s">
        <v>6</v>
      </c>
    </row>
    <row r="418" spans="1:5" s="1" customFormat="1" x14ac:dyDescent="0.35">
      <c r="A418" s="5">
        <v>46112</v>
      </c>
      <c r="B418" s="3" t="s">
        <v>22</v>
      </c>
      <c r="C418" s="8">
        <v>395293.14016000001</v>
      </c>
      <c r="D418" s="23">
        <v>1</v>
      </c>
      <c r="E418" s="1" t="s">
        <v>10</v>
      </c>
    </row>
    <row r="419" spans="1:5" x14ac:dyDescent="0.35">
      <c r="A419" s="5">
        <v>46142</v>
      </c>
      <c r="B419" s="2" t="s">
        <v>16</v>
      </c>
      <c r="C419" s="7">
        <v>12605.36</v>
      </c>
      <c r="D419" s="4">
        <v>2.8387595549286708E-2</v>
      </c>
      <c r="E419" t="s">
        <v>6</v>
      </c>
    </row>
    <row r="420" spans="1:5" x14ac:dyDescent="0.35">
      <c r="A420" s="5">
        <v>46142</v>
      </c>
      <c r="B420" s="2" t="s">
        <v>17</v>
      </c>
      <c r="C420" s="7">
        <v>2666.01</v>
      </c>
      <c r="D420" s="4">
        <v>6.0039232207849567E-3</v>
      </c>
      <c r="E420" t="s">
        <v>6</v>
      </c>
    </row>
    <row r="421" spans="1:5" x14ac:dyDescent="0.35">
      <c r="A421" s="5">
        <v>46142</v>
      </c>
      <c r="B421" s="2" t="s">
        <v>18</v>
      </c>
      <c r="C421" s="7">
        <v>120814.08</v>
      </c>
      <c r="D421" s="4">
        <v>0.27207642143494259</v>
      </c>
      <c r="E421" t="s">
        <v>6</v>
      </c>
    </row>
    <row r="422" spans="1:5" x14ac:dyDescent="0.35">
      <c r="A422" s="5">
        <v>46142</v>
      </c>
      <c r="B422" s="2" t="s">
        <v>9</v>
      </c>
      <c r="C422" s="7">
        <v>-25795.919999999998</v>
      </c>
      <c r="D422" s="4">
        <v>1</v>
      </c>
      <c r="E422" t="s">
        <v>10</v>
      </c>
    </row>
    <row r="423" spans="1:5" x14ac:dyDescent="0.35">
      <c r="A423" s="5">
        <v>46142</v>
      </c>
      <c r="B423" s="2" t="s">
        <v>19</v>
      </c>
      <c r="C423" s="7">
        <v>148597.73000000001</v>
      </c>
      <c r="D423" s="4">
        <v>0.33464591719570946</v>
      </c>
      <c r="E423" t="s">
        <v>12</v>
      </c>
    </row>
    <row r="424" spans="1:5" x14ac:dyDescent="0.35">
      <c r="A424" s="5">
        <v>46142</v>
      </c>
      <c r="B424" s="2" t="s">
        <v>20</v>
      </c>
      <c r="C424" s="7">
        <v>156613.91</v>
      </c>
      <c r="D424" s="4">
        <v>0.35269856112577419</v>
      </c>
      <c r="E424" t="s">
        <v>12</v>
      </c>
    </row>
    <row r="425" spans="1:5" x14ac:dyDescent="0.35">
      <c r="A425" s="5">
        <v>46142</v>
      </c>
      <c r="B425" s="2" t="s">
        <v>23</v>
      </c>
      <c r="C425" s="7">
        <v>1579.56</v>
      </c>
      <c r="D425" s="4">
        <v>3.5572098239027932E-3</v>
      </c>
      <c r="E425" t="s">
        <v>6</v>
      </c>
    </row>
    <row r="426" spans="1:5" x14ac:dyDescent="0.35">
      <c r="A426" s="5">
        <v>46142</v>
      </c>
      <c r="B426" s="2" t="s">
        <v>21</v>
      </c>
      <c r="C426" s="7">
        <v>1168.002465</v>
      </c>
      <c r="D426" s="4">
        <v>2.6303716495990519E-3</v>
      </c>
      <c r="E426" t="s">
        <v>6</v>
      </c>
    </row>
    <row r="427" spans="1:5" s="1" customFormat="1" x14ac:dyDescent="0.35">
      <c r="A427" s="5">
        <v>46142</v>
      </c>
      <c r="B427" s="3" t="s">
        <v>22</v>
      </c>
      <c r="C427" s="8">
        <v>418248.73246500007</v>
      </c>
      <c r="D427" s="23">
        <v>1</v>
      </c>
      <c r="E427" s="1" t="s">
        <v>10</v>
      </c>
    </row>
    <row r="428" spans="1:5" x14ac:dyDescent="0.35">
      <c r="A428" s="5">
        <v>46173</v>
      </c>
      <c r="B428" s="2" t="s">
        <v>16</v>
      </c>
      <c r="C428" s="7">
        <v>15186.07</v>
      </c>
      <c r="D428" s="4">
        <v>3.3180693060264298E-2</v>
      </c>
      <c r="E428" t="s">
        <v>6</v>
      </c>
    </row>
    <row r="429" spans="1:5" x14ac:dyDescent="0.35">
      <c r="A429" s="5">
        <v>46173</v>
      </c>
      <c r="B429" s="2" t="s">
        <v>17</v>
      </c>
      <c r="C429" s="7">
        <v>2556.17</v>
      </c>
      <c r="D429" s="4">
        <v>5.5850850272556223E-3</v>
      </c>
      <c r="E429" t="s">
        <v>6</v>
      </c>
    </row>
    <row r="430" spans="1:5" x14ac:dyDescent="0.35">
      <c r="A430" s="5">
        <v>46173</v>
      </c>
      <c r="B430" s="2" t="s">
        <v>18</v>
      </c>
      <c r="C430" s="7">
        <v>127019.2</v>
      </c>
      <c r="D430" s="4">
        <v>0.27752967607552992</v>
      </c>
      <c r="E430" t="s">
        <v>6</v>
      </c>
    </row>
    <row r="431" spans="1:5" x14ac:dyDescent="0.35">
      <c r="A431" s="5">
        <v>46173</v>
      </c>
      <c r="B431" s="2" t="s">
        <v>9</v>
      </c>
      <c r="C431" s="7">
        <v>-25845.48</v>
      </c>
      <c r="D431" s="4">
        <v>1</v>
      </c>
      <c r="E431" t="s">
        <v>10</v>
      </c>
    </row>
    <row r="432" spans="1:5" x14ac:dyDescent="0.35">
      <c r="A432" s="5">
        <v>46173</v>
      </c>
      <c r="B432" s="2" t="s">
        <v>19</v>
      </c>
      <c r="C432" s="7">
        <v>148597.73000000001</v>
      </c>
      <c r="D432" s="4">
        <v>0.32467752806236422</v>
      </c>
      <c r="E432" t="s">
        <v>12</v>
      </c>
    </row>
    <row r="433" spans="1:5" x14ac:dyDescent="0.35">
      <c r="A433" s="5">
        <v>46173</v>
      </c>
      <c r="B433" s="2" t="s">
        <v>20</v>
      </c>
      <c r="C433" s="7">
        <v>161488.60999999999</v>
      </c>
      <c r="D433" s="4">
        <v>0.35284336244589459</v>
      </c>
      <c r="E433" t="s">
        <v>12</v>
      </c>
    </row>
    <row r="434" spans="1:5" x14ac:dyDescent="0.35">
      <c r="A434" s="5">
        <v>46173</v>
      </c>
      <c r="B434" s="2" t="s">
        <v>23</v>
      </c>
      <c r="C434" s="7">
        <v>1661.42</v>
      </c>
      <c r="D434" s="4">
        <v>3.630107530400183E-3</v>
      </c>
      <c r="E434" t="s">
        <v>6</v>
      </c>
    </row>
    <row r="435" spans="1:5" x14ac:dyDescent="0.35">
      <c r="A435" s="5">
        <v>46173</v>
      </c>
      <c r="B435" s="2" t="s">
        <v>21</v>
      </c>
      <c r="C435" s="7">
        <v>1168.7024000000001</v>
      </c>
      <c r="D435" s="4">
        <v>2.5535477982910806E-3</v>
      </c>
      <c r="E435" t="s">
        <v>6</v>
      </c>
    </row>
    <row r="436" spans="1:5" s="1" customFormat="1" x14ac:dyDescent="0.35">
      <c r="A436" s="5">
        <v>46173</v>
      </c>
      <c r="B436" s="3" t="s">
        <v>22</v>
      </c>
      <c r="C436" s="8">
        <v>431832.42239999998</v>
      </c>
      <c r="D436" s="23">
        <v>1</v>
      </c>
      <c r="E436" s="1" t="s">
        <v>10</v>
      </c>
    </row>
    <row r="437" spans="1:5" x14ac:dyDescent="0.35">
      <c r="A437" s="5">
        <v>46203</v>
      </c>
      <c r="B437" s="2" t="s">
        <v>16</v>
      </c>
      <c r="C437" s="7">
        <v>37775.67</v>
      </c>
      <c r="D437" s="4">
        <v>7.2112537277223249E-2</v>
      </c>
      <c r="E437" t="s">
        <v>6</v>
      </c>
    </row>
    <row r="438" spans="1:5" x14ac:dyDescent="0.35">
      <c r="A438" s="5">
        <v>46203</v>
      </c>
      <c r="B438" s="2" t="s">
        <v>17</v>
      </c>
      <c r="C438" s="7">
        <v>2201.84</v>
      </c>
      <c r="D438" s="4">
        <v>4.2032416388241758E-3</v>
      </c>
      <c r="E438" t="s">
        <v>6</v>
      </c>
    </row>
    <row r="439" spans="1:5" x14ac:dyDescent="0.35">
      <c r="A439" s="5">
        <v>46203</v>
      </c>
      <c r="B439" s="2" t="s">
        <v>18</v>
      </c>
      <c r="C439" s="7">
        <v>133374</v>
      </c>
      <c r="D439" s="4">
        <v>0.25460667002894649</v>
      </c>
      <c r="E439" t="s">
        <v>6</v>
      </c>
    </row>
    <row r="440" spans="1:5" x14ac:dyDescent="0.35">
      <c r="A440" s="5">
        <v>46203</v>
      </c>
      <c r="B440" s="2" t="s">
        <v>9</v>
      </c>
      <c r="C440" s="7">
        <v>-25895.14</v>
      </c>
      <c r="D440" s="4">
        <v>1</v>
      </c>
      <c r="E440" t="s">
        <v>10</v>
      </c>
    </row>
    <row r="441" spans="1:5" x14ac:dyDescent="0.35">
      <c r="A441" s="5">
        <v>46203</v>
      </c>
      <c r="B441" s="2" t="s">
        <v>19</v>
      </c>
      <c r="C441" s="7">
        <v>143949.35999999999</v>
      </c>
      <c r="D441" s="4">
        <v>0.2747946916370359</v>
      </c>
      <c r="E441" t="s">
        <v>12</v>
      </c>
    </row>
    <row r="442" spans="1:5" x14ac:dyDescent="0.35">
      <c r="A442" s="5">
        <v>46203</v>
      </c>
      <c r="B442" s="2" t="s">
        <v>20</v>
      </c>
      <c r="C442" s="7">
        <v>162250.88</v>
      </c>
      <c r="D442" s="4">
        <v>0.3097317038258296</v>
      </c>
      <c r="E442" t="s">
        <v>12</v>
      </c>
    </row>
    <row r="443" spans="1:5" x14ac:dyDescent="0.35">
      <c r="A443" s="5">
        <v>46203</v>
      </c>
      <c r="B443" s="2" t="s">
        <v>24</v>
      </c>
      <c r="C443" s="7">
        <v>41438.199999999997</v>
      </c>
      <c r="D443" s="4">
        <v>7.9104189077282602E-2</v>
      </c>
      <c r="E443" t="s">
        <v>12</v>
      </c>
    </row>
    <row r="444" spans="1:5" x14ac:dyDescent="0.35">
      <c r="A444" s="5">
        <v>46203</v>
      </c>
      <c r="B444" s="2" t="s">
        <v>23</v>
      </c>
      <c r="C444" s="7">
        <v>1680.96</v>
      </c>
      <c r="D444" s="4">
        <v>3.2088984963475481E-3</v>
      </c>
      <c r="E444" t="s">
        <v>6</v>
      </c>
    </row>
    <row r="445" spans="1:5" x14ac:dyDescent="0.35">
      <c r="A445" s="5">
        <v>46203</v>
      </c>
      <c r="B445" s="2" t="s">
        <v>21</v>
      </c>
      <c r="C445" s="7">
        <v>1172.3969520000001</v>
      </c>
      <c r="D445" s="4">
        <v>2.2380680185104039E-3</v>
      </c>
      <c r="E445" t="s">
        <v>6</v>
      </c>
    </row>
    <row r="446" spans="1:5" s="1" customFormat="1" x14ac:dyDescent="0.35">
      <c r="A446" s="5">
        <v>46203</v>
      </c>
      <c r="B446" s="3" t="s">
        <v>22</v>
      </c>
      <c r="C446" s="8">
        <v>497948.166952</v>
      </c>
      <c r="D446" s="23">
        <v>1</v>
      </c>
      <c r="E446" s="1" t="s">
        <v>10</v>
      </c>
    </row>
    <row r="447" spans="1:5" x14ac:dyDescent="0.35">
      <c r="A447" s="5">
        <v>46234</v>
      </c>
      <c r="B447" s="2" t="s">
        <v>16</v>
      </c>
      <c r="C447" s="7">
        <v>42537.89</v>
      </c>
      <c r="D447" s="4">
        <v>8.0768644868858569E-2</v>
      </c>
      <c r="E447" t="s">
        <v>6</v>
      </c>
    </row>
    <row r="448" spans="1:5" x14ac:dyDescent="0.35">
      <c r="A448" s="5">
        <v>46234</v>
      </c>
      <c r="B448" s="2" t="s">
        <v>17</v>
      </c>
      <c r="C448" s="7">
        <v>2276.8000000000002</v>
      </c>
      <c r="D448" s="4">
        <v>4.3230646991991653E-3</v>
      </c>
      <c r="E448" t="s">
        <v>6</v>
      </c>
    </row>
    <row r="449" spans="1:5" x14ac:dyDescent="0.35">
      <c r="A449" s="5">
        <v>46234</v>
      </c>
      <c r="B449" s="2" t="s">
        <v>18</v>
      </c>
      <c r="C449" s="7">
        <v>131687.25</v>
      </c>
      <c r="D449" s="4">
        <v>0.25004062799087107</v>
      </c>
      <c r="E449" t="s">
        <v>6</v>
      </c>
    </row>
    <row r="450" spans="1:5" x14ac:dyDescent="0.35">
      <c r="A450" s="5">
        <v>46234</v>
      </c>
      <c r="B450" s="2" t="s">
        <v>9</v>
      </c>
      <c r="C450" s="7">
        <v>-25944.89</v>
      </c>
      <c r="D450" s="4">
        <v>1</v>
      </c>
      <c r="E450" t="s">
        <v>10</v>
      </c>
    </row>
    <row r="451" spans="1:5" x14ac:dyDescent="0.35">
      <c r="A451" s="5">
        <v>46234</v>
      </c>
      <c r="B451" s="2" t="s">
        <v>19</v>
      </c>
      <c r="C451" s="7">
        <v>143949.35999999999</v>
      </c>
      <c r="D451" s="4">
        <v>0.27332325926225942</v>
      </c>
      <c r="E451" t="s">
        <v>12</v>
      </c>
    </row>
    <row r="452" spans="1:5" x14ac:dyDescent="0.35">
      <c r="A452" s="5">
        <v>46234</v>
      </c>
      <c r="B452" s="2" t="s">
        <v>20</v>
      </c>
      <c r="C452" s="7">
        <v>161995.59</v>
      </c>
      <c r="D452" s="4">
        <v>0.30758846475533264</v>
      </c>
      <c r="E452" t="s">
        <v>12</v>
      </c>
    </row>
    <row r="453" spans="1:5" x14ac:dyDescent="0.35">
      <c r="A453" s="5">
        <v>46234</v>
      </c>
      <c r="B453" s="2" t="s">
        <v>24</v>
      </c>
      <c r="C453" s="7">
        <v>41438.199999999997</v>
      </c>
      <c r="D453" s="4">
        <v>7.8680612973627384E-2</v>
      </c>
      <c r="E453" t="s">
        <v>12</v>
      </c>
    </row>
    <row r="454" spans="1:5" x14ac:dyDescent="0.35">
      <c r="A454" s="5">
        <v>46234</v>
      </c>
      <c r="B454" s="2" t="s">
        <v>23</v>
      </c>
      <c r="C454" s="7">
        <v>1574.49</v>
      </c>
      <c r="D454" s="17">
        <v>2.9895564556579823E-3</v>
      </c>
      <c r="E454" t="s">
        <v>6</v>
      </c>
    </row>
    <row r="455" spans="1:5" x14ac:dyDescent="0.35">
      <c r="A455" s="5">
        <v>46234</v>
      </c>
      <c r="B455" s="2" t="s">
        <v>21</v>
      </c>
      <c r="C455" s="7">
        <v>1203.8308950000001</v>
      </c>
      <c r="D455" s="4">
        <v>2.2857689941935336E-3</v>
      </c>
      <c r="E455" t="s">
        <v>6</v>
      </c>
    </row>
    <row r="456" spans="1:5" s="1" customFormat="1" x14ac:dyDescent="0.35">
      <c r="A456" s="5">
        <v>46234</v>
      </c>
      <c r="B456" s="3" t="s">
        <v>22</v>
      </c>
      <c r="C456" s="8">
        <v>500718.52089500002</v>
      </c>
      <c r="D456" s="23">
        <v>1</v>
      </c>
      <c r="E456" s="1" t="s">
        <v>10</v>
      </c>
    </row>
    <row r="457" spans="1:5" x14ac:dyDescent="0.35">
      <c r="A457" s="5">
        <v>46265</v>
      </c>
      <c r="B457" s="2" t="s">
        <v>16</v>
      </c>
      <c r="C457" s="7">
        <v>61738.94</v>
      </c>
      <c r="D457" s="4">
        <v>0.11618929213387018</v>
      </c>
      <c r="E457" t="s">
        <v>6</v>
      </c>
    </row>
    <row r="458" spans="1:5" x14ac:dyDescent="0.35">
      <c r="A458" s="5">
        <v>46265</v>
      </c>
      <c r="B458" s="2" t="s">
        <v>17</v>
      </c>
      <c r="C458" s="7">
        <v>2651.36</v>
      </c>
      <c r="D458" s="4">
        <v>4.9897138109604409E-3</v>
      </c>
      <c r="E458" t="s">
        <v>6</v>
      </c>
    </row>
    <row r="459" spans="1:5" x14ac:dyDescent="0.35">
      <c r="A459" s="5">
        <v>46265</v>
      </c>
      <c r="B459" s="2" t="s">
        <v>18</v>
      </c>
      <c r="C459" s="7">
        <v>138497.65</v>
      </c>
      <c r="D459" s="4">
        <v>0.26064496597616515</v>
      </c>
      <c r="E459" t="s">
        <v>6</v>
      </c>
    </row>
    <row r="460" spans="1:5" x14ac:dyDescent="0.35">
      <c r="A460" s="5">
        <v>46265</v>
      </c>
      <c r="B460" s="2" t="s">
        <v>9</v>
      </c>
      <c r="C460" s="7">
        <v>-25994.74</v>
      </c>
      <c r="D460" s="4">
        <v>1</v>
      </c>
      <c r="E460" t="s">
        <v>10</v>
      </c>
    </row>
    <row r="461" spans="1:5" x14ac:dyDescent="0.35">
      <c r="A461" s="5">
        <v>46265</v>
      </c>
      <c r="B461" s="2" t="s">
        <v>19</v>
      </c>
      <c r="C461" s="7">
        <v>119415.83999999997</v>
      </c>
      <c r="D461" s="4">
        <v>0.22473404822258844</v>
      </c>
      <c r="E461" t="s">
        <v>12</v>
      </c>
    </row>
    <row r="462" spans="1:5" x14ac:dyDescent="0.35">
      <c r="A462" s="5">
        <v>46265</v>
      </c>
      <c r="B462" s="2" t="s">
        <v>20</v>
      </c>
      <c r="C462" s="7">
        <v>165025.04</v>
      </c>
      <c r="D462" s="4">
        <v>0.31056805610792171</v>
      </c>
      <c r="E462" t="s">
        <v>12</v>
      </c>
    </row>
    <row r="463" spans="1:5" x14ac:dyDescent="0.35">
      <c r="A463" s="5">
        <v>46265</v>
      </c>
      <c r="B463" s="2" t="s">
        <v>24</v>
      </c>
      <c r="C463" s="7">
        <v>41438.199999999997</v>
      </c>
      <c r="D463" s="4">
        <v>7.7984415108224056E-2</v>
      </c>
      <c r="E463" t="s">
        <v>12</v>
      </c>
    </row>
    <row r="464" spans="1:5" x14ac:dyDescent="0.35">
      <c r="A464" s="5">
        <v>46265</v>
      </c>
      <c r="B464" s="2" t="s">
        <v>23</v>
      </c>
      <c r="C464" s="7">
        <v>1424.51</v>
      </c>
      <c r="D464" s="4">
        <v>2.6808495341452154E-3</v>
      </c>
      <c r="E464" t="s">
        <v>6</v>
      </c>
    </row>
    <row r="465" spans="1:5" x14ac:dyDescent="0.35">
      <c r="A465" s="5">
        <v>46265</v>
      </c>
      <c r="B465" s="2" t="s">
        <v>21</v>
      </c>
      <c r="C465" s="7">
        <v>1173.6044649999999</v>
      </c>
      <c r="D465" s="4">
        <v>2.2086591061249092E-3</v>
      </c>
      <c r="E465" t="s">
        <v>6</v>
      </c>
    </row>
    <row r="466" spans="1:5" s="1" customFormat="1" x14ac:dyDescent="0.35">
      <c r="A466" s="5">
        <v>46265</v>
      </c>
      <c r="B466" s="3" t="s">
        <v>22</v>
      </c>
      <c r="C466" s="8">
        <v>505370.40446499997</v>
      </c>
      <c r="D466" s="23">
        <v>1</v>
      </c>
      <c r="E466" s="1" t="s">
        <v>10</v>
      </c>
    </row>
    <row r="467" spans="1:5" x14ac:dyDescent="0.35">
      <c r="A467" s="5">
        <v>46295</v>
      </c>
      <c r="B467" s="2" t="s">
        <v>16</v>
      </c>
      <c r="C467" s="7">
        <v>61995.63</v>
      </c>
      <c r="D467" s="4">
        <v>0.11408238697092886</v>
      </c>
      <c r="E467" t="s">
        <v>6</v>
      </c>
    </row>
    <row r="468" spans="1:5" x14ac:dyDescent="0.35">
      <c r="A468" s="5">
        <v>46295</v>
      </c>
      <c r="B468" s="2" t="s">
        <v>17</v>
      </c>
      <c r="C468" s="7">
        <v>2931.07</v>
      </c>
      <c r="D468" s="4">
        <v>5.393661810983782E-3</v>
      </c>
      <c r="E468" t="s">
        <v>6</v>
      </c>
    </row>
    <row r="469" spans="1:5" x14ac:dyDescent="0.35">
      <c r="A469" s="5">
        <v>46295</v>
      </c>
      <c r="B469" s="2" t="s">
        <v>18</v>
      </c>
      <c r="C469" s="7">
        <v>149881.07999999999</v>
      </c>
      <c r="D469" s="4">
        <v>0.27580639745383256</v>
      </c>
      <c r="E469" t="s">
        <v>6</v>
      </c>
    </row>
    <row r="470" spans="1:5" x14ac:dyDescent="0.35">
      <c r="A470" s="5">
        <v>46295</v>
      </c>
      <c r="B470" s="2" t="s">
        <v>9</v>
      </c>
      <c r="C470" s="7">
        <v>-26044.68</v>
      </c>
      <c r="D470" s="4">
        <v>1</v>
      </c>
      <c r="E470" t="s">
        <v>10</v>
      </c>
    </row>
    <row r="471" spans="1:5" x14ac:dyDescent="0.35">
      <c r="A471" s="5">
        <v>46295</v>
      </c>
      <c r="B471" s="2" t="s">
        <v>19</v>
      </c>
      <c r="C471" s="7">
        <v>119415.83999999997</v>
      </c>
      <c r="D471" s="4">
        <v>0.21974523154839337</v>
      </c>
      <c r="E471" t="s">
        <v>12</v>
      </c>
    </row>
    <row r="472" spans="1:5" x14ac:dyDescent="0.35">
      <c r="A472" s="5">
        <v>46295</v>
      </c>
      <c r="B472" s="2" t="s">
        <v>20</v>
      </c>
      <c r="C472" s="7">
        <v>165161.22</v>
      </c>
      <c r="D472" s="4">
        <v>0.30392442519949736</v>
      </c>
      <c r="E472" t="s">
        <v>12</v>
      </c>
    </row>
    <row r="473" spans="1:5" x14ac:dyDescent="0.35">
      <c r="A473" s="5">
        <v>46295</v>
      </c>
      <c r="B473" s="2" t="s">
        <v>24</v>
      </c>
      <c r="C473" s="7">
        <v>41438.199999999997</v>
      </c>
      <c r="D473" s="4">
        <v>7.6253257976066122E-2</v>
      </c>
      <c r="E473" t="s">
        <v>12</v>
      </c>
    </row>
    <row r="474" spans="1:5" x14ac:dyDescent="0.35">
      <c r="A474" s="5">
        <v>46295</v>
      </c>
      <c r="B474" s="2" t="s">
        <v>23</v>
      </c>
      <c r="C474" s="7">
        <v>1391.7</v>
      </c>
      <c r="D474" s="4">
        <v>2.5609620863186922E-3</v>
      </c>
      <c r="E474" t="s">
        <v>6</v>
      </c>
    </row>
    <row r="475" spans="1:5" x14ac:dyDescent="0.35">
      <c r="A475" s="5">
        <v>46295</v>
      </c>
      <c r="B475" s="2" t="s">
        <v>21</v>
      </c>
      <c r="C475" s="7">
        <v>1213.8439040000001</v>
      </c>
      <c r="D475" s="4">
        <v>2.2336769539793538E-3</v>
      </c>
      <c r="E475" t="s">
        <v>6</v>
      </c>
    </row>
    <row r="476" spans="1:5" s="1" customFormat="1" x14ac:dyDescent="0.35">
      <c r="A476" s="5">
        <v>46295</v>
      </c>
      <c r="B476" s="3" t="s">
        <v>22</v>
      </c>
      <c r="C476" s="8">
        <v>517383.90390399995</v>
      </c>
      <c r="D476" s="23">
        <v>1</v>
      </c>
      <c r="E476" s="1" t="s">
        <v>10</v>
      </c>
    </row>
  </sheetData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calcs</vt:lpstr>
      <vt:lpstr>Back-up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Blom</dc:creator>
  <cp:keywords/>
  <dc:description/>
  <cp:lastModifiedBy>Blom, Peter</cp:lastModifiedBy>
  <cp:revision/>
  <dcterms:created xsi:type="dcterms:W3CDTF">2020-05-14T15:19:51Z</dcterms:created>
  <dcterms:modified xsi:type="dcterms:W3CDTF">2026-10-05T11:04:31Z</dcterms:modified>
  <cp:category/>
  <cp:contentStatus/>
</cp:coreProperties>
</file>